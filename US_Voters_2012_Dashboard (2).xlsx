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71A2B71A-3501-4F6C-BC90-0FD0F6D009B4}" xr6:coauthVersionLast="47" xr6:coauthVersionMax="47" xr10:uidLastSave="{00000000-0000-0000-0000-000000000000}"/>
  <bookViews>
    <workbookView xWindow="-108" yWindow="-108" windowWidth="23256" windowHeight="13176" tabRatio="500" xr2:uid="{00000000-000D-0000-FFFF-FFFF00000000}"/>
  </bookViews>
  <sheets>
    <sheet name="Dashboard" sheetId="1" r:id="rId1"/>
    <sheet name="Analysis" sheetId="2" r:id="rId2"/>
    <sheet name="U.S. Voters (2012)" sheetId="3" r:id="rId3"/>
    <sheet name="Q - Voters" sheetId="4" r:id="rId4"/>
  </sheets>
  <definedNames>
    <definedName name="Slicer_Age1">#N/A</definedName>
  </definedNames>
  <calcPr calcId="191029"/>
  <pivotCaches>
    <pivotCache cacheId="33"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9" i="2" l="1"/>
  <c r="R55" i="1"/>
  <c r="I11" i="2"/>
  <c r="I10" i="2"/>
  <c r="C9" i="2"/>
  <c r="C14" i="2" s="1"/>
  <c r="B9" i="2"/>
  <c r="B14" i="2" s="1"/>
  <c r="E69" i="2"/>
  <c r="D69" i="2"/>
  <c r="F69" i="2" s="1"/>
  <c r="C69" i="2"/>
  <c r="B69" i="2"/>
  <c r="E68" i="2"/>
  <c r="D68" i="2"/>
  <c r="F68" i="2" s="1"/>
  <c r="C68" i="2"/>
  <c r="I68" i="2" s="1"/>
  <c r="B68" i="2"/>
  <c r="E67" i="2"/>
  <c r="D67" i="2"/>
  <c r="C67" i="2"/>
  <c r="I67" i="2" s="1"/>
  <c r="B67" i="2"/>
  <c r="E66" i="2"/>
  <c r="D66" i="2"/>
  <c r="C66" i="2"/>
  <c r="I66" i="2" s="1"/>
  <c r="B66" i="2"/>
  <c r="H66" i="2" s="1"/>
  <c r="E65" i="2"/>
  <c r="H65" i="2" s="1"/>
  <c r="D65" i="2"/>
  <c r="F65" i="2" s="1"/>
  <c r="C65" i="2"/>
  <c r="B65" i="2"/>
  <c r="E64" i="2"/>
  <c r="D64" i="2"/>
  <c r="F64" i="2" s="1"/>
  <c r="C64" i="2"/>
  <c r="B64" i="2"/>
  <c r="E63" i="2"/>
  <c r="D63" i="2"/>
  <c r="F63" i="2" s="1"/>
  <c r="C63" i="2"/>
  <c r="I63" i="2" s="1"/>
  <c r="B63" i="2"/>
  <c r="E62" i="2"/>
  <c r="D62" i="2"/>
  <c r="C62" i="2"/>
  <c r="I62" i="2" s="1"/>
  <c r="B62" i="2"/>
  <c r="H62" i="2" s="1"/>
  <c r="E61" i="2"/>
  <c r="D61" i="2"/>
  <c r="F61" i="2" s="1"/>
  <c r="C61" i="2"/>
  <c r="B61" i="2"/>
  <c r="F60" i="2"/>
  <c r="E60" i="2"/>
  <c r="H60" i="2" s="1"/>
  <c r="D60" i="2"/>
  <c r="C60" i="2"/>
  <c r="B60" i="2"/>
  <c r="E59" i="2"/>
  <c r="D59" i="2"/>
  <c r="C59" i="2"/>
  <c r="I59" i="2" s="1"/>
  <c r="B59" i="2"/>
  <c r="E58" i="2"/>
  <c r="D58" i="2"/>
  <c r="C58" i="2"/>
  <c r="I58" i="2" s="1"/>
  <c r="B58" i="2"/>
  <c r="H58" i="2" s="1"/>
  <c r="E57" i="2"/>
  <c r="H57" i="2" s="1"/>
  <c r="D57" i="2"/>
  <c r="C57" i="2"/>
  <c r="I57" i="2" s="1"/>
  <c r="B57" i="2"/>
  <c r="E56" i="2"/>
  <c r="D56" i="2"/>
  <c r="F56" i="2" s="1"/>
  <c r="C56" i="2"/>
  <c r="B56" i="2"/>
  <c r="I55" i="2"/>
  <c r="H55" i="2"/>
  <c r="E55" i="2"/>
  <c r="D55" i="2"/>
  <c r="F55" i="2" s="1"/>
  <c r="C55" i="2"/>
  <c r="B55" i="2"/>
  <c r="E54" i="2"/>
  <c r="D54" i="2"/>
  <c r="C54" i="2"/>
  <c r="I54" i="2" s="1"/>
  <c r="B54" i="2"/>
  <c r="H54" i="2" s="1"/>
  <c r="E53" i="2"/>
  <c r="D53" i="2"/>
  <c r="C53" i="2"/>
  <c r="I53" i="2" s="1"/>
  <c r="B53" i="2"/>
  <c r="F52" i="2"/>
  <c r="E52" i="2"/>
  <c r="H52" i="2" s="1"/>
  <c r="D52" i="2"/>
  <c r="C52" i="2"/>
  <c r="I52" i="2" s="1"/>
  <c r="B52" i="2"/>
  <c r="E51" i="2"/>
  <c r="D51" i="2"/>
  <c r="C51" i="2"/>
  <c r="I51" i="2" s="1"/>
  <c r="B51" i="2"/>
  <c r="E50" i="2"/>
  <c r="D50" i="2"/>
  <c r="F50" i="2" s="1"/>
  <c r="C50" i="2"/>
  <c r="B50" i="2"/>
  <c r="E49" i="2"/>
  <c r="D49" i="2"/>
  <c r="F49" i="2" s="1"/>
  <c r="C49" i="2"/>
  <c r="I49" i="2" s="1"/>
  <c r="B49" i="2"/>
  <c r="E48" i="2"/>
  <c r="D48" i="2"/>
  <c r="C48" i="2"/>
  <c r="I48" i="2" s="1"/>
  <c r="B48" i="2"/>
  <c r="I47" i="2"/>
  <c r="E47" i="2"/>
  <c r="D47" i="2"/>
  <c r="C47" i="2"/>
  <c r="B47" i="2"/>
  <c r="H47" i="2" s="1"/>
  <c r="E46" i="2"/>
  <c r="D46" i="2"/>
  <c r="F46" i="2" s="1"/>
  <c r="C46" i="2"/>
  <c r="B46" i="2"/>
  <c r="H46" i="2" s="1"/>
  <c r="E45" i="2"/>
  <c r="H45" i="2" s="1"/>
  <c r="D45" i="2"/>
  <c r="F45" i="2" s="1"/>
  <c r="C45" i="2"/>
  <c r="B45" i="2"/>
  <c r="E44" i="2"/>
  <c r="D44" i="2"/>
  <c r="F44" i="2" s="1"/>
  <c r="C44" i="2"/>
  <c r="B44" i="2"/>
  <c r="E43" i="2"/>
  <c r="D43" i="2"/>
  <c r="C43" i="2"/>
  <c r="I43" i="2" s="1"/>
  <c r="B43" i="2"/>
  <c r="E42" i="2"/>
  <c r="D42" i="2"/>
  <c r="C42" i="2"/>
  <c r="I42" i="2" s="1"/>
  <c r="B42" i="2"/>
  <c r="E41" i="2"/>
  <c r="H41" i="2" s="1"/>
  <c r="D41" i="2"/>
  <c r="C41" i="2"/>
  <c r="I41" i="2" s="1"/>
  <c r="B41" i="2"/>
  <c r="E40" i="2"/>
  <c r="H40" i="2" s="1"/>
  <c r="D40" i="2"/>
  <c r="F40" i="2" s="1"/>
  <c r="C40" i="2"/>
  <c r="B40" i="2"/>
  <c r="E39" i="2"/>
  <c r="D39" i="2"/>
  <c r="F39" i="2" s="1"/>
  <c r="C39" i="2"/>
  <c r="I39" i="2" s="1"/>
  <c r="B39" i="2"/>
  <c r="E38" i="2"/>
  <c r="D38" i="2"/>
  <c r="C38" i="2"/>
  <c r="I38" i="2" s="1"/>
  <c r="B38" i="2"/>
  <c r="E37" i="2"/>
  <c r="H37" i="2" s="1"/>
  <c r="D37" i="2"/>
  <c r="F37" i="2" s="1"/>
  <c r="C37" i="2"/>
  <c r="B37" i="2"/>
  <c r="E36" i="2"/>
  <c r="H36" i="2" s="1"/>
  <c r="D36" i="2"/>
  <c r="C36" i="2"/>
  <c r="I36" i="2" s="1"/>
  <c r="B36" i="2"/>
  <c r="E35" i="2"/>
  <c r="H35" i="2" s="1"/>
  <c r="D35" i="2"/>
  <c r="F35" i="2" s="1"/>
  <c r="C35" i="2"/>
  <c r="B35" i="2"/>
  <c r="E34" i="2"/>
  <c r="D34" i="2"/>
  <c r="F34" i="2" s="1"/>
  <c r="C34" i="2"/>
  <c r="B34" i="2"/>
  <c r="E33" i="2"/>
  <c r="H33" i="2" s="1"/>
  <c r="D33" i="2"/>
  <c r="C33" i="2"/>
  <c r="I33" i="2" s="1"/>
  <c r="B33" i="2"/>
  <c r="F32" i="2"/>
  <c r="E32" i="2"/>
  <c r="H32" i="2" s="1"/>
  <c r="D32" i="2"/>
  <c r="C32" i="2"/>
  <c r="B32" i="2"/>
  <c r="E31" i="2"/>
  <c r="D31" i="2"/>
  <c r="F31" i="2" s="1"/>
  <c r="C31" i="2"/>
  <c r="B31" i="2"/>
  <c r="E30" i="2"/>
  <c r="D30" i="2"/>
  <c r="F30" i="2" s="1"/>
  <c r="C30" i="2"/>
  <c r="B30" i="2"/>
  <c r="E29" i="2"/>
  <c r="D29" i="2"/>
  <c r="C29" i="2"/>
  <c r="I29" i="2" s="1"/>
  <c r="B29" i="2"/>
  <c r="E28" i="2"/>
  <c r="D28" i="2"/>
  <c r="F28" i="2" s="1"/>
  <c r="C28" i="2"/>
  <c r="B28" i="2"/>
  <c r="H27" i="2"/>
  <c r="G27" i="2"/>
  <c r="F27" i="2"/>
  <c r="E27" i="2"/>
  <c r="D27" i="2"/>
  <c r="C27" i="2"/>
  <c r="I27" i="2" s="1"/>
  <c r="B27" i="2"/>
  <c r="E26" i="2"/>
  <c r="D26" i="2"/>
  <c r="F26" i="2" s="1"/>
  <c r="C26" i="2"/>
  <c r="I26" i="2" s="1"/>
  <c r="B26" i="2"/>
  <c r="I25" i="2"/>
  <c r="J25" i="2" s="1"/>
  <c r="E25" i="2"/>
  <c r="G25" i="2" s="1"/>
  <c r="D25" i="2"/>
  <c r="C25" i="2"/>
  <c r="F25" i="2" s="1"/>
  <c r="B25" i="2"/>
  <c r="E24" i="2"/>
  <c r="D24" i="2"/>
  <c r="C24" i="2"/>
  <c r="I24" i="2" s="1"/>
  <c r="B24" i="2"/>
  <c r="F23" i="2"/>
  <c r="E23" i="2"/>
  <c r="D23" i="2"/>
  <c r="C23" i="2"/>
  <c r="B23" i="2"/>
  <c r="E22" i="2"/>
  <c r="D22" i="2"/>
  <c r="F22" i="2" s="1"/>
  <c r="C22" i="2"/>
  <c r="I22" i="2" s="1"/>
  <c r="B22" i="2"/>
  <c r="I21" i="2"/>
  <c r="J21" i="2" s="1"/>
  <c r="E21" i="2"/>
  <c r="G21" i="2" s="1"/>
  <c r="D21" i="2"/>
  <c r="C21" i="2"/>
  <c r="B21" i="2"/>
  <c r="E20" i="2"/>
  <c r="D20" i="2"/>
  <c r="C20" i="2"/>
  <c r="I20" i="2" s="1"/>
  <c r="B20" i="2"/>
  <c r="E19" i="2"/>
  <c r="M19" i="2" s="1"/>
  <c r="D19" i="2"/>
  <c r="F19" i="2" s="1"/>
  <c r="C19" i="2"/>
  <c r="B19" i="2"/>
  <c r="E13" i="2"/>
  <c r="G13" i="2" s="1"/>
  <c r="D13" i="2"/>
  <c r="F13" i="2" s="1"/>
  <c r="C13" i="2"/>
  <c r="B13" i="2"/>
  <c r="E12" i="2"/>
  <c r="I12" i="2" s="1"/>
  <c r="D12" i="2"/>
  <c r="F12" i="2" s="1"/>
  <c r="C12" i="2"/>
  <c r="B12" i="2"/>
  <c r="E11" i="2"/>
  <c r="D11" i="2"/>
  <c r="F11" i="2" s="1"/>
  <c r="C11" i="2"/>
  <c r="B11" i="2"/>
  <c r="H10" i="2"/>
  <c r="F10" i="2"/>
  <c r="E10" i="2"/>
  <c r="G10" i="2" s="1"/>
  <c r="D10" i="2"/>
  <c r="C10" i="2"/>
  <c r="B10" i="2"/>
  <c r="E9" i="2"/>
  <c r="E14" i="2" s="1"/>
  <c r="D9" i="2"/>
  <c r="D14" i="2" s="1"/>
  <c r="D5" i="2"/>
  <c r="G5" i="2" s="1"/>
  <c r="V7" i="1" s="1"/>
  <c r="C5" i="2"/>
  <c r="E5" i="2" s="1"/>
  <c r="B5" i="2"/>
  <c r="A5" i="2"/>
  <c r="J7" i="1"/>
  <c r="F7" i="1"/>
  <c r="B7" i="1"/>
  <c r="I19" i="2" l="1"/>
  <c r="L22" i="2" s="1"/>
  <c r="M27" i="2"/>
  <c r="M42" i="2"/>
  <c r="I50" i="2"/>
  <c r="I60" i="2"/>
  <c r="I65" i="2"/>
  <c r="M23" i="2"/>
  <c r="I30" i="2"/>
  <c r="L30" i="2" s="1"/>
  <c r="I40" i="2"/>
  <c r="I45" i="2"/>
  <c r="M55" i="2"/>
  <c r="M30" i="2"/>
  <c r="F43" i="2"/>
  <c r="F58" i="2"/>
  <c r="M63" i="2"/>
  <c r="M50" i="2"/>
  <c r="H23" i="2"/>
  <c r="I35" i="2"/>
  <c r="F38" i="2"/>
  <c r="M43" i="2"/>
  <c r="F53" i="2"/>
  <c r="M58" i="2"/>
  <c r="H63" i="2"/>
  <c r="H68" i="2"/>
  <c r="M35" i="2"/>
  <c r="M26" i="2"/>
  <c r="I28" i="2"/>
  <c r="L31" i="2" s="1"/>
  <c r="F33" i="2"/>
  <c r="M38" i="2"/>
  <c r="H43" i="2"/>
  <c r="I46" i="2"/>
  <c r="H48" i="2"/>
  <c r="F51" i="2"/>
  <c r="O51" i="2" s="1"/>
  <c r="H53" i="2"/>
  <c r="I56" i="2"/>
  <c r="I61" i="2"/>
  <c r="F66" i="2"/>
  <c r="F48" i="2"/>
  <c r="M51" i="2"/>
  <c r="M66" i="2"/>
  <c r="F24" i="2"/>
  <c r="H26" i="2"/>
  <c r="H28" i="2"/>
  <c r="M31" i="2"/>
  <c r="F41" i="2"/>
  <c r="M46" i="2"/>
  <c r="H51" i="2"/>
  <c r="H56" i="2"/>
  <c r="F59" i="2"/>
  <c r="H61" i="2"/>
  <c r="I64" i="2"/>
  <c r="I69" i="2"/>
  <c r="F20" i="2"/>
  <c r="H24" i="2"/>
  <c r="H31" i="2"/>
  <c r="I34" i="2"/>
  <c r="L34" i="2" s="1"/>
  <c r="I44" i="2"/>
  <c r="F54" i="2"/>
  <c r="M59" i="2"/>
  <c r="H25" i="2"/>
  <c r="I31" i="2"/>
  <c r="F36" i="2"/>
  <c r="O66" i="2" s="1"/>
  <c r="M39" i="2"/>
  <c r="M54" i="2"/>
  <c r="H59" i="2"/>
  <c r="H64" i="2"/>
  <c r="F67" i="2"/>
  <c r="H69" i="2"/>
  <c r="M21" i="2"/>
  <c r="G23" i="2"/>
  <c r="G19" i="2"/>
  <c r="H19" i="2"/>
  <c r="H20" i="2"/>
  <c r="H21" i="2"/>
  <c r="F29" i="2"/>
  <c r="O50" i="2" s="1"/>
  <c r="M34" i="2"/>
  <c r="H39" i="2"/>
  <c r="H44" i="2"/>
  <c r="F47" i="2"/>
  <c r="H49" i="2"/>
  <c r="F62" i="2"/>
  <c r="M67" i="2"/>
  <c r="M22" i="2"/>
  <c r="F21" i="2"/>
  <c r="I23" i="2"/>
  <c r="L62" i="2" s="1"/>
  <c r="H29" i="2"/>
  <c r="I32" i="2"/>
  <c r="I37" i="2"/>
  <c r="L37" i="2" s="1"/>
  <c r="F42" i="2"/>
  <c r="M47" i="2"/>
  <c r="H50" i="2"/>
  <c r="F57" i="2"/>
  <c r="M62" i="2"/>
  <c r="H67" i="2"/>
  <c r="J62" i="2"/>
  <c r="O25" i="2"/>
  <c r="J27" i="2"/>
  <c r="J42" i="2"/>
  <c r="L52" i="2"/>
  <c r="J52" i="2"/>
  <c r="J57" i="2"/>
  <c r="O62" i="2"/>
  <c r="L29" i="2"/>
  <c r="J29" i="2"/>
  <c r="N7" i="1"/>
  <c r="L23" i="2"/>
  <c r="J23" i="2"/>
  <c r="L32" i="2"/>
  <c r="J32" i="2"/>
  <c r="O57" i="2"/>
  <c r="L19" i="2"/>
  <c r="J19" i="2"/>
  <c r="L25" i="2"/>
  <c r="L21" i="2"/>
  <c r="L50" i="2"/>
  <c r="J50" i="2"/>
  <c r="O55" i="2"/>
  <c r="J60" i="2"/>
  <c r="J65" i="2"/>
  <c r="L67" i="2"/>
  <c r="O27" i="2"/>
  <c r="J30" i="2"/>
  <c r="L40" i="2"/>
  <c r="J40" i="2"/>
  <c r="L45" i="2"/>
  <c r="J45" i="2"/>
  <c r="L68" i="2"/>
  <c r="J68" i="2"/>
  <c r="O32" i="2"/>
  <c r="F14" i="2"/>
  <c r="L38" i="2"/>
  <c r="J38" i="2"/>
  <c r="L48" i="2"/>
  <c r="J48" i="2"/>
  <c r="J53" i="2"/>
  <c r="L58" i="2"/>
  <c r="J58" i="2"/>
  <c r="H14" i="2"/>
  <c r="G14" i="2"/>
  <c r="L33" i="2"/>
  <c r="J33" i="2"/>
  <c r="L35" i="2"/>
  <c r="L66" i="2"/>
  <c r="J66" i="2"/>
  <c r="O33" i="2"/>
  <c r="L46" i="2"/>
  <c r="J46" i="2"/>
  <c r="L56" i="2"/>
  <c r="J56" i="2"/>
  <c r="L61" i="2"/>
  <c r="J61" i="2"/>
  <c r="L63" i="2"/>
  <c r="L24" i="2"/>
  <c r="J24" i="2"/>
  <c r="O28" i="2"/>
  <c r="L36" i="2"/>
  <c r="J36" i="2"/>
  <c r="L41" i="2"/>
  <c r="J41" i="2"/>
  <c r="L43" i="2"/>
  <c r="J54" i="2"/>
  <c r="L64" i="2"/>
  <c r="J64" i="2"/>
  <c r="J69" i="2"/>
  <c r="L20" i="2"/>
  <c r="J20" i="2"/>
  <c r="O20" i="2"/>
  <c r="O22" i="2"/>
  <c r="L26" i="2"/>
  <c r="O39" i="2"/>
  <c r="L44" i="2"/>
  <c r="J44" i="2"/>
  <c r="J49" i="2"/>
  <c r="L51" i="2"/>
  <c r="O54" i="2"/>
  <c r="O69" i="2"/>
  <c r="H13" i="2"/>
  <c r="M20" i="2"/>
  <c r="G22" i="2"/>
  <c r="M24" i="2"/>
  <c r="G26" i="2"/>
  <c r="O26" i="2" s="1"/>
  <c r="M28" i="2"/>
  <c r="G30" i="2"/>
  <c r="M32" i="2"/>
  <c r="G34" i="2"/>
  <c r="O34" i="2" s="1"/>
  <c r="M36" i="2"/>
  <c r="G38" i="2"/>
  <c r="O38" i="2" s="1"/>
  <c r="M40" i="2"/>
  <c r="G42" i="2"/>
  <c r="M44" i="2"/>
  <c r="G46" i="2"/>
  <c r="M48" i="2"/>
  <c r="G50" i="2"/>
  <c r="M52" i="2"/>
  <c r="G54" i="2"/>
  <c r="M56" i="2"/>
  <c r="G58" i="2"/>
  <c r="O58" i="2" s="1"/>
  <c r="M60" i="2"/>
  <c r="G62" i="2"/>
  <c r="M64" i="2"/>
  <c r="G66" i="2"/>
  <c r="M68" i="2"/>
  <c r="I13" i="2"/>
  <c r="H22" i="2"/>
  <c r="H30" i="2"/>
  <c r="N28" i="2" s="1"/>
  <c r="H34" i="2"/>
  <c r="H38" i="2"/>
  <c r="H42" i="2"/>
  <c r="F9" i="2"/>
  <c r="G9" i="2"/>
  <c r="G12" i="2"/>
  <c r="J22" i="2"/>
  <c r="M25" i="2"/>
  <c r="J26" i="2"/>
  <c r="M29" i="2"/>
  <c r="G31" i="2"/>
  <c r="M33" i="2"/>
  <c r="G35" i="2"/>
  <c r="O35" i="2" s="1"/>
  <c r="M37" i="2"/>
  <c r="G39" i="2"/>
  <c r="M41" i="2"/>
  <c r="G43" i="2"/>
  <c r="O43" i="2" s="1"/>
  <c r="M45" i="2"/>
  <c r="G47" i="2"/>
  <c r="M49" i="2"/>
  <c r="G51" i="2"/>
  <c r="M53" i="2"/>
  <c r="G55" i="2"/>
  <c r="M57" i="2"/>
  <c r="G59" i="2"/>
  <c r="M61" i="2"/>
  <c r="G63" i="2"/>
  <c r="M65" i="2"/>
  <c r="G67" i="2"/>
  <c r="M69" i="2"/>
  <c r="H9" i="2"/>
  <c r="H12" i="2"/>
  <c r="G20" i="2"/>
  <c r="G24" i="2"/>
  <c r="O24" i="2" s="1"/>
  <c r="G28" i="2"/>
  <c r="J31" i="2"/>
  <c r="G32" i="2"/>
  <c r="J35" i="2"/>
  <c r="G36" i="2"/>
  <c r="J39" i="2"/>
  <c r="G40" i="2"/>
  <c r="J43" i="2"/>
  <c r="G44" i="2"/>
  <c r="J47" i="2"/>
  <c r="G48" i="2"/>
  <c r="J51" i="2"/>
  <c r="G52" i="2"/>
  <c r="O52" i="2" s="1"/>
  <c r="J55" i="2"/>
  <c r="G56" i="2"/>
  <c r="O56" i="2" s="1"/>
  <c r="J59" i="2"/>
  <c r="G60" i="2"/>
  <c r="J63" i="2"/>
  <c r="G64" i="2"/>
  <c r="O64" i="2" s="1"/>
  <c r="J67" i="2"/>
  <c r="G68" i="2"/>
  <c r="G11" i="2"/>
  <c r="F5" i="2"/>
  <c r="R7" i="1" s="1"/>
  <c r="H11" i="2"/>
  <c r="G29" i="2"/>
  <c r="G33" i="2"/>
  <c r="G37" i="2"/>
  <c r="G41" i="2"/>
  <c r="O41" i="2" s="1"/>
  <c r="G45" i="2"/>
  <c r="G49" i="2"/>
  <c r="G53" i="2"/>
  <c r="O53" i="2" s="1"/>
  <c r="G57" i="2"/>
  <c r="G61" i="2"/>
  <c r="G65" i="2"/>
  <c r="G69" i="2"/>
  <c r="O47" i="2" l="1"/>
  <c r="O67" i="2"/>
  <c r="N42" i="2"/>
  <c r="O19" i="2"/>
  <c r="O21" i="2"/>
  <c r="L42" i="2"/>
  <c r="L49" i="2"/>
  <c r="L69" i="2"/>
  <c r="O31" i="2"/>
  <c r="O29" i="2"/>
  <c r="O63" i="2"/>
  <c r="P63" i="2" s="1"/>
  <c r="O36" i="2"/>
  <c r="L27" i="2"/>
  <c r="N49" i="2"/>
  <c r="K48" i="2"/>
  <c r="J34" i="2"/>
  <c r="O30" i="2"/>
  <c r="J28" i="2"/>
  <c r="L65" i="2"/>
  <c r="L59" i="2"/>
  <c r="K69" i="2"/>
  <c r="K20" i="2"/>
  <c r="X20" i="2"/>
  <c r="L54" i="2"/>
  <c r="L55" i="2"/>
  <c r="O65" i="2"/>
  <c r="L39" i="2"/>
  <c r="U27" i="2" s="1"/>
  <c r="O61" i="2"/>
  <c r="O23" i="2"/>
  <c r="L28" i="2"/>
  <c r="J37" i="2"/>
  <c r="Y24" i="2"/>
  <c r="O46" i="2"/>
  <c r="L53" i="2"/>
  <c r="L47" i="2"/>
  <c r="V28" i="2" s="1"/>
  <c r="L60" i="2"/>
  <c r="L57" i="2"/>
  <c r="N68" i="2"/>
  <c r="N44" i="2"/>
  <c r="K65" i="2"/>
  <c r="I14" i="2"/>
  <c r="A74" i="2"/>
  <c r="R46" i="1" s="1"/>
  <c r="K51" i="2"/>
  <c r="K46" i="2"/>
  <c r="K22" i="2"/>
  <c r="N26" i="2"/>
  <c r="Y25" i="2"/>
  <c r="Y19" i="2"/>
  <c r="Z20" i="2"/>
  <c r="N53" i="2"/>
  <c r="N45" i="2"/>
  <c r="K27" i="2"/>
  <c r="K61" i="2"/>
  <c r="K44" i="2"/>
  <c r="N51" i="2"/>
  <c r="Z21" i="2"/>
  <c r="Y23" i="2"/>
  <c r="Z24" i="2"/>
  <c r="K21" i="2"/>
  <c r="V25" i="2"/>
  <c r="V21" i="2"/>
  <c r="U25" i="2"/>
  <c r="U21" i="2"/>
  <c r="U28" i="2"/>
  <c r="U24" i="2"/>
  <c r="U20" i="2"/>
  <c r="V27" i="2"/>
  <c r="V23" i="2"/>
  <c r="V19" i="2"/>
  <c r="U23" i="2"/>
  <c r="U19" i="2"/>
  <c r="V26" i="2"/>
  <c r="U26" i="2"/>
  <c r="U22" i="2"/>
  <c r="N25" i="2"/>
  <c r="Y21" i="2"/>
  <c r="X27" i="2"/>
  <c r="Y28" i="2"/>
  <c r="K19" i="2"/>
  <c r="K68" i="2"/>
  <c r="K57" i="2"/>
  <c r="K47" i="2"/>
  <c r="K66" i="2"/>
  <c r="K42" i="2"/>
  <c r="N41" i="2"/>
  <c r="N33" i="2"/>
  <c r="Z25" i="2"/>
  <c r="Y27" i="2"/>
  <c r="Z28" i="2"/>
  <c r="N48" i="2"/>
  <c r="N63" i="2"/>
  <c r="N40" i="2"/>
  <c r="N57" i="2"/>
  <c r="N59" i="2"/>
  <c r="N39" i="2"/>
  <c r="K64" i="2"/>
  <c r="N20" i="2"/>
  <c r="X22" i="2"/>
  <c r="Z19" i="2"/>
  <c r="X21" i="2"/>
  <c r="N37" i="2"/>
  <c r="N29" i="2"/>
  <c r="K53" i="2"/>
  <c r="K40" i="2"/>
  <c r="N69" i="2"/>
  <c r="K49" i="2"/>
  <c r="K67" i="2"/>
  <c r="K43" i="2"/>
  <c r="A73" i="2"/>
  <c r="R43" i="1" s="1"/>
  <c r="K62" i="2"/>
  <c r="K38" i="2"/>
  <c r="N36" i="2"/>
  <c r="X26" i="2"/>
  <c r="Z23" i="2"/>
  <c r="X25" i="2"/>
  <c r="N46" i="2"/>
  <c r="N66" i="2"/>
  <c r="N65" i="2"/>
  <c r="N52" i="2"/>
  <c r="K45" i="2"/>
  <c r="K60" i="2"/>
  <c r="K36" i="2"/>
  <c r="Y22" i="2"/>
  <c r="Z27" i="2"/>
  <c r="O68" i="2"/>
  <c r="N43" i="2"/>
  <c r="O40" i="2"/>
  <c r="O60" i="2"/>
  <c r="N35" i="2"/>
  <c r="N32" i="2"/>
  <c r="N67" i="2"/>
  <c r="K41" i="2"/>
  <c r="K34" i="2"/>
  <c r="N27" i="2"/>
  <c r="Y26" i="2"/>
  <c r="K37" i="2"/>
  <c r="N38" i="2"/>
  <c r="N31" i="2"/>
  <c r="O48" i="2"/>
  <c r="Z22" i="2"/>
  <c r="X24" i="2"/>
  <c r="K23" i="2"/>
  <c r="N58" i="2"/>
  <c r="N47" i="2"/>
  <c r="N50" i="2"/>
  <c r="N21" i="2"/>
  <c r="N54" i="2"/>
  <c r="K56" i="2"/>
  <c r="K32" i="2"/>
  <c r="K33" i="2"/>
  <c r="K59" i="2"/>
  <c r="K35" i="2"/>
  <c r="N34" i="2"/>
  <c r="K54" i="2"/>
  <c r="K30" i="2"/>
  <c r="N61" i="2"/>
  <c r="N55" i="2"/>
  <c r="Z26" i="2"/>
  <c r="X28" i="2"/>
  <c r="O37" i="2"/>
  <c r="O44" i="2"/>
  <c r="A77" i="2"/>
  <c r="K63" i="2"/>
  <c r="N62" i="2"/>
  <c r="K29" i="2"/>
  <c r="K28" i="2"/>
  <c r="N30" i="2"/>
  <c r="N24" i="2"/>
  <c r="O59" i="2"/>
  <c r="X19" i="2"/>
  <c r="Y20" i="2"/>
  <c r="N19" i="2"/>
  <c r="K25" i="2"/>
  <c r="O42" i="2"/>
  <c r="N64" i="2"/>
  <c r="K39" i="2"/>
  <c r="K58" i="2"/>
  <c r="K52" i="2"/>
  <c r="K24" i="2"/>
  <c r="K55" i="2"/>
  <c r="K31" i="2"/>
  <c r="N22" i="2"/>
  <c r="K50" i="2"/>
  <c r="K26" i="2"/>
  <c r="N56" i="2"/>
  <c r="X23" i="2"/>
  <c r="O45" i="2"/>
  <c r="N23" i="2"/>
  <c r="N60" i="2"/>
  <c r="O49" i="2"/>
  <c r="P35" i="2" l="1"/>
  <c r="V20" i="2"/>
  <c r="V22" i="2"/>
  <c r="V24" i="2"/>
  <c r="P22" i="2"/>
  <c r="P48" i="2"/>
  <c r="P69" i="2"/>
  <c r="P42" i="2"/>
  <c r="P54" i="2"/>
  <c r="P57" i="2"/>
  <c r="P40" i="2"/>
  <c r="P24" i="2"/>
  <c r="P62" i="2"/>
  <c r="P46" i="2"/>
  <c r="P65" i="2"/>
  <c r="P51" i="2"/>
  <c r="P26" i="2"/>
  <c r="P68" i="2"/>
  <c r="P31" i="2"/>
  <c r="P20" i="2"/>
  <c r="P52" i="2"/>
  <c r="P49" i="2"/>
  <c r="AB28" i="2"/>
  <c r="AB24" i="2"/>
  <c r="AB20" i="2"/>
  <c r="AC27" i="2"/>
  <c r="AC23" i="2"/>
  <c r="AC19" i="2"/>
  <c r="A76" i="2" s="1"/>
  <c r="R52" i="1" s="1"/>
  <c r="AB27" i="2"/>
  <c r="AB23" i="2"/>
  <c r="AB19" i="2"/>
  <c r="AC26" i="2"/>
  <c r="AC22" i="2"/>
  <c r="AB26" i="2"/>
  <c r="AB22" i="2"/>
  <c r="AC25" i="2"/>
  <c r="AC21" i="2"/>
  <c r="AB25" i="2"/>
  <c r="AB21" i="2"/>
  <c r="AC28" i="2"/>
  <c r="AC24" i="2"/>
  <c r="AC20" i="2"/>
  <c r="P44" i="2"/>
  <c r="P38" i="2"/>
  <c r="P30" i="2"/>
  <c r="P50" i="2"/>
  <c r="P37" i="2"/>
  <c r="P33" i="2"/>
  <c r="P39" i="2"/>
  <c r="P56" i="2"/>
  <c r="P34" i="2"/>
  <c r="P59" i="2"/>
  <c r="P67" i="2"/>
  <c r="P58" i="2"/>
  <c r="P47" i="2"/>
  <c r="P66" i="2"/>
  <c r="P61" i="2"/>
  <c r="P29" i="2"/>
  <c r="P19" i="2"/>
  <c r="P36" i="2"/>
  <c r="P41" i="2"/>
  <c r="P45" i="2"/>
  <c r="P55" i="2"/>
  <c r="P53" i="2"/>
  <c r="S26" i="2"/>
  <c r="S22" i="2"/>
  <c r="R26" i="2"/>
  <c r="R22" i="2"/>
  <c r="S25" i="2"/>
  <c r="S21" i="2"/>
  <c r="R25" i="2"/>
  <c r="R21" i="2"/>
  <c r="S28" i="2"/>
  <c r="S24" i="2"/>
  <c r="S20" i="2"/>
  <c r="R28" i="2"/>
  <c r="R24" i="2"/>
  <c r="R20" i="2"/>
  <c r="S27" i="2"/>
  <c r="S23" i="2"/>
  <c r="S19" i="2"/>
  <c r="R27" i="2"/>
  <c r="R23" i="2"/>
  <c r="R19" i="2"/>
  <c r="P32" i="2"/>
  <c r="P43" i="2"/>
  <c r="P27" i="2"/>
  <c r="P28" i="2"/>
  <c r="P25" i="2"/>
  <c r="P23" i="2"/>
  <c r="P21" i="2"/>
  <c r="P60" i="2"/>
  <c r="P64" i="2"/>
  <c r="A75" i="2" l="1"/>
  <c r="R49" i="1" s="1"/>
  <c r="AF27" i="2"/>
  <c r="AF23" i="2"/>
  <c r="AF19" i="2"/>
  <c r="AE27" i="2"/>
  <c r="AE23" i="2"/>
  <c r="AE19" i="2"/>
  <c r="AG26" i="2"/>
  <c r="AG22" i="2"/>
  <c r="AF26" i="2"/>
  <c r="AF22" i="2"/>
  <c r="AE26" i="2"/>
  <c r="AE22" i="2"/>
  <c r="AG25" i="2"/>
  <c r="AG21" i="2"/>
  <c r="AF25" i="2"/>
  <c r="AF21" i="2"/>
  <c r="AE25" i="2"/>
  <c r="AE21" i="2"/>
  <c r="AG28" i="2"/>
  <c r="AG24" i="2"/>
  <c r="AG20" i="2"/>
  <c r="AF28" i="2"/>
  <c r="AF24" i="2"/>
  <c r="AF20" i="2"/>
  <c r="AE28" i="2"/>
  <c r="AE24" i="2"/>
  <c r="AE20" i="2"/>
  <c r="AG27" i="2"/>
  <c r="AG23" i="2"/>
  <c r="AG19" i="2"/>
</calcChain>
</file>

<file path=xl/sharedStrings.xml><?xml version="1.0" encoding="utf-8"?>
<sst xmlns="http://schemas.openxmlformats.org/spreadsheetml/2006/main" count="669" uniqueCount="122">
  <si>
    <t>U.S. VOTERS 2012  ·  PARTICIPATION DASHBOARD</t>
  </si>
  <si>
    <t>From population to ballot: citizens → registered → confirmed voters, by age group and by state</t>
  </si>
  <si>
    <t>CITIZENS</t>
  </si>
  <si>
    <t>REGISTERED</t>
  </si>
  <si>
    <t>CONFIRMED VOTERS</t>
  </si>
  <si>
    <t>REGISTRATION RATE</t>
  </si>
  <si>
    <t>TURNOUT (OF REGISTERED)</t>
  </si>
  <si>
    <t>VOTER PENETRATION</t>
  </si>
  <si>
    <t>KEY INSIGHTS</t>
  </si>
  <si>
    <t>ANALYSIS  ·  U.S. Voters 2012 (all figures are live formulas on the data sheet)</t>
  </si>
  <si>
    <t>KPIs</t>
  </si>
  <si>
    <t>Total Pop.</t>
  </si>
  <si>
    <t>Citizens</t>
  </si>
  <si>
    <t>Registered</t>
  </si>
  <si>
    <t>Confirmed</t>
  </si>
  <si>
    <t>Registration Rate</t>
  </si>
  <si>
    <t>Turnout Rate</t>
  </si>
  <si>
    <t>Voter Penetration</t>
  </si>
  <si>
    <t>Age-group participation  (Q1, Q4, Q6)</t>
  </si>
  <si>
    <t>Age</t>
  </si>
  <si>
    <t>Share of Confirmed</t>
  </si>
  <si>
    <t>18 to 24</t>
  </si>
  <si>
    <t>25 to 34</t>
  </si>
  <si>
    <t>35 to 44</t>
  </si>
  <si>
    <t>45 to 64</t>
  </si>
  <si>
    <t>65+</t>
  </si>
  <si>
    <t>Total</t>
  </si>
  <si>
    <t>State-level metrics  (Q2, Q3, Q5, Q7, Q8)</t>
  </si>
  <si>
    <t>Top 10 Turnout (Q2)</t>
  </si>
  <si>
    <t>Top 10 Citizen–Registered Gap (Q3)</t>
  </si>
  <si>
    <t>Top 10 Confirmed Voters (Q5)</t>
  </si>
  <si>
    <t>Top 10 Voter Penetration (Q8)</t>
  </si>
  <si>
    <t>High registration, lowest turnout (Q7)</t>
  </si>
  <si>
    <t>State</t>
  </si>
  <si>
    <t>Citizen–Registered Gap</t>
  </si>
  <si>
    <t>Gap % of Citizens</t>
  </si>
  <si>
    <t>Rank: Turnout</t>
  </si>
  <si>
    <t>Rank: Gap</t>
  </si>
  <si>
    <t>Rank: Confirmed</t>
  </si>
  <si>
    <t>Rank: Penetration</t>
  </si>
  <si>
    <t>Q7 Score</t>
  </si>
  <si>
    <t>Rank: Q7</t>
  </si>
  <si>
    <t>Turnout</t>
  </si>
  <si>
    <t>Gap</t>
  </si>
  <si>
    <t>Penetration</t>
  </si>
  <si>
    <t>Reg. Rate</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</si>
  <si>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</si>
  <si>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</si>
  <si>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</si>
  <si>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</si>
  <si>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</si>
  <si>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</si>
  <si>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</si>
  <si>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</si>
  <si>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</si>
  <si>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</si>
  <si>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</si>
  <si>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</si>
  <si>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</si>
  <si>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</si>
  <si>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</si>
  <si>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</si>
  <si>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</si>
  <si>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</si>
  <si>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</si>
  <si>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</si>
  <si>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</si>
  <si>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</si>
  <si>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</si>
  <si>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</si>
  <si>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</si>
  <si>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</si>
  <si>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</si>
  <si>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</si>
  <si>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</si>
  <si>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</si>
  <si>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</si>
  <si>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</si>
  <si>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</si>
  <si>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</si>
  <si>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</si>
  <si>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</si>
  <si>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</si>
  <si>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</si>
  <si>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</si>
  <si>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</si>
  <si>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</si>
  <si>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</si>
  <si>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</si>
  <si>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</si>
  <si>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</si>
  <si>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</si>
  <si>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</si>
  <si>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</si>
  <si>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</si>
  <si>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</si>
  <si>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</si>
  <si>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Key insights (dynamic)</t>
  </si>
  <si>
    <t>Total Population</t>
  </si>
  <si>
    <t>Citizen Population</t>
  </si>
  <si>
    <t>Registered Voters</t>
  </si>
  <si>
    <t>Confirmed Voters</t>
  </si>
  <si>
    <t>Voters — Dashboard Problem Statements</t>
  </si>
  <si>
    <t>Each dataset has 8 dashboard-ready business questions.</t>
  </si>
  <si>
    <t>#</t>
  </si>
  <si>
    <t>Problem Statement</t>
  </si>
  <si>
    <t>Suggested Dashboard Approach</t>
  </si>
  <si>
    <t>How does voter turnout vary across age groups, and which age group has the highest confirmed-voter turnout rate?</t>
  </si>
  <si>
    <t>Suggested visuals: KPI cards, PivotTables, ranked bar charts, trend charts, conditional formatting and filters/slicers.</t>
  </si>
  <si>
    <t>Which 10 states have the highest confirmed-voter turnout rate among registered voters?</t>
  </si>
  <si>
    <t>Which states have the largest gap between citizen population and registered voters?</t>
  </si>
  <si>
    <t>How does the registration rate (registered voters ÷ citizen population) differ by age group?</t>
  </si>
  <si>
    <t>Which states have the highest number of confirmed voters, and how does that compare with their population size?</t>
  </si>
  <si>
    <t>Which age group contributes the largest share of total confirmed voters?</t>
  </si>
  <si>
    <t>Which states show strong registration but comparatively lower confirmed-voter turnout?</t>
  </si>
  <si>
    <t>How does confirmed voter penetration (confirmed voters ÷ total population) vary across states?</t>
  </si>
  <si>
    <t xml:space="preserve">Leaderboards </t>
  </si>
  <si>
    <t>Row Labels</t>
  </si>
  <si>
    <t>Grand Total</t>
  </si>
  <si>
    <t>Sum of Registration Rate</t>
  </si>
  <si>
    <t>Sum of Turnout Rate</t>
  </si>
  <si>
    <t>Sum of Voter Penetration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</si>
</sst>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M"/>
    <numFmt numFmtId="165" formatCode="0.0%"/>
  </numFmts>
  <fonts count="21" x14ac:knownFonts="1">
    <font>
      <sz val="11"/>
      <color theme="1"/>
      <name val="Calibri"/>
      <charset val="1"/>
    </font>
    <font>
      <b/>
      <sz val="22"/>
      <color rgb="FFFFFFFF"/>
      <name val="Arial"/>
      <family val="2"/>
    </font>
    <font>
      <i/>
      <sz val="10"/>
      <color rgb="FF555555"/>
      <name val="Arial"/>
      <family val="2"/>
    </font>
    <font>
      <b/>
      <sz val="8"/>
      <color rgb="FFFFFFFF"/>
      <name val="Arial"/>
      <family val="2"/>
    </font>
    <font>
      <b/>
      <sz val="20"/>
      <color rgb="FFFFFFFF"/>
      <name val="Arial"/>
      <family val="2"/>
    </font>
    <font>
      <b/>
      <sz val="11"/>
      <color rgb="FFFFFFFF"/>
      <name val="Arial"/>
      <family val="2"/>
    </font>
    <font>
      <b/>
      <sz val="14"/>
      <color rgb="FFFFFFFF"/>
      <name val="Arial"/>
      <family val="2"/>
    </font>
    <font>
      <sz val="10"/>
      <color theme="1"/>
      <name val="Arial"/>
      <family val="2"/>
    </font>
    <font>
      <b/>
      <sz val="11"/>
      <color rgb="FF1F2A44"/>
      <name val="Arial"/>
      <family val="2"/>
    </font>
    <font>
      <b/>
      <sz val="10"/>
      <color rgb="FFFFFFFF"/>
      <name val="Arial"/>
      <family val="2"/>
    </font>
    <font>
      <b/>
      <sz val="11"/>
      <name val="Arial"/>
      <family val="2"/>
    </font>
    <font>
      <b/>
      <sz val="10"/>
      <color rgb="FF1F2A44"/>
      <name val="Arial"/>
      <family val="2"/>
    </font>
    <font>
      <sz val="10"/>
      <name val="Arial"/>
      <family val="2"/>
    </font>
    <font>
      <b/>
      <sz val="11"/>
      <color theme="1"/>
      <name val="Calibri"/>
      <family val="2"/>
    </font>
    <font>
      <b/>
      <sz val="20"/>
      <color rgb="FFFFFFFF"/>
      <name val="Calibri"/>
      <family val="2"/>
    </font>
    <font>
      <i/>
      <sz val="10"/>
      <color rgb="FF666666"/>
      <name val="Calibri"/>
      <family val="2"/>
    </font>
    <font>
      <b/>
      <sz val="11"/>
      <color rgb="FFFFFFFF"/>
      <name val="Calibri"/>
      <family val="2"/>
    </font>
    <font>
      <b/>
      <sz val="10"/>
      <color rgb="FFFFFFFF"/>
      <name val="Arial"/>
      <family val="2"/>
    </font>
    <font>
      <sz val="11"/>
      <color theme="1"/>
      <name val="Calibri"/>
      <family val="2"/>
    </font>
    <font>
      <b/>
      <sz val="11"/>
      <color rgb="FF1F2A44"/>
      <name val="Arial"/>
      <family val="2"/>
    </font>
    <font>
      <sz val="10"/>
      <color theme="0"/>
      <name val="Arial"/>
      <family val="2"/>
    </font>
  </fonts>
  <fills count="19">
    <fill>
      <patternFill patternType="none"/>
    </fill>
    <fill>
      <patternFill patternType="gray125"/>
    </fill>
    <fill>
      <patternFill patternType="solid">
        <fgColor rgb="FFF3F4F6"/>
        <bgColor rgb="FFFFFFFF"/>
      </patternFill>
    </fill>
    <fill>
      <patternFill patternType="solid">
        <fgColor rgb="FF1F2A44"/>
        <bgColor rgb="FF222222"/>
      </patternFill>
    </fill>
    <fill>
      <patternFill patternType="solid">
        <fgColor rgb="FF2F5D8A"/>
        <bgColor rgb="FF1F4E78"/>
      </patternFill>
    </fill>
    <fill>
      <patternFill patternType="solid">
        <fgColor rgb="FFD6DCE4"/>
        <bgColor rgb="FFD9D9D9"/>
      </patternFill>
    </fill>
    <fill>
      <patternFill patternType="solid">
        <fgColor rgb="FFE2EFD9"/>
        <bgColor rgb="FFF3F4F6"/>
      </patternFill>
    </fill>
    <fill>
      <patternFill patternType="solid">
        <fgColor rgb="FF1F4E78"/>
        <bgColor rgb="FF2F5D8A"/>
      </patternFill>
    </fill>
    <fill>
      <patternFill patternType="solid">
        <fgColor rgb="FF17365D"/>
        <bgColor rgb="FF1F2A44"/>
      </patternFill>
    </fill>
    <fill>
      <patternFill patternType="solid">
        <fgColor rgb="FF2C4D88"/>
        <bgColor rgb="FF1F4E78"/>
      </patternFill>
    </fill>
    <fill>
      <patternFill patternType="solid">
        <fgColor theme="1" tint="0.249977111117893"/>
        <bgColor rgb="FFF3F4F6"/>
      </patternFill>
    </fill>
    <fill>
      <patternFill patternType="solid">
        <fgColor theme="1" tint="4.9989318521683403E-2"/>
        <bgColor rgb="FF222222"/>
      </patternFill>
    </fill>
    <fill>
      <patternFill patternType="solid">
        <fgColor theme="1" tint="0.14999847407452621"/>
        <bgColor rgb="FF1F4E78"/>
      </patternFill>
    </fill>
    <fill>
      <patternFill patternType="solid">
        <fgColor theme="1" tint="0.249977111117893"/>
        <bgColor rgb="FF00CCFF"/>
      </patternFill>
    </fill>
    <fill>
      <patternFill patternType="solid">
        <fgColor theme="1" tint="0.34998626667073579"/>
        <bgColor rgb="FFFF9900"/>
      </patternFill>
    </fill>
    <fill>
      <patternFill patternType="solid">
        <fgColor theme="1" tint="0.499984740745262"/>
        <bgColor rgb="FFFF9900"/>
      </patternFill>
    </fill>
    <fill>
      <patternFill patternType="solid">
        <fgColor theme="2" tint="-0.34998626667073579"/>
        <bgColor rgb="FF666666"/>
      </patternFill>
    </fill>
    <fill>
      <patternFill patternType="solid">
        <fgColor theme="2" tint="-0.499984740745262"/>
        <bgColor rgb="FF222222"/>
      </patternFill>
    </fill>
    <fill>
      <patternFill patternType="solid">
        <fgColor theme="1" tint="4.9989318521683403E-2"/>
        <bgColor indexed="64"/>
      </patternFill>
    </fill>
  </fills>
  <borders count="2">
    <border>
      <left/>
      <right/>
      <top/>
      <bottom/>
      <diagonal/>
    </border>
    <border>
      <left style="thick">
        <color rgb="FFFFFFFF"/>
      </left>
      <right style="thick">
        <color rgb="FFFFFFFF"/>
      </right>
      <top/>
      <bottom/>
      <diagonal/>
    </border>
  </borders>
  <cellStyleXfs count="1">
    <xf numFmtId="0" fontId="0" fillId="0" borderId="0"/>
  </cellStyleXfs>
  <cellXfs count="44">
    <xf numFmtId="0" fontId="0" fillId="0" borderId="0" xfId="0"/>
    <xf numFmtId="0" fontId="0" fillId="2" borderId="0" xfId="0" applyFill="1"/>
    <xf numFmtId="0" fontId="6" fillId="3" borderId="0" xfId="0" applyFont="1" applyFill="1"/>
    <xf numFmtId="0" fontId="7" fillId="3" borderId="0" xfId="0" applyFont="1" applyFill="1"/>
    <xf numFmtId="0" fontId="7" fillId="0" borderId="0" xfId="0" applyFont="1"/>
    <xf numFmtId="0" fontId="8" fillId="0" borderId="0" xfId="0" applyFont="1"/>
    <xf numFmtId="0" fontId="9" fillId="4" borderId="0" xfId="0" applyFont="1" applyFill="1" applyAlignment="1">
      <alignment horizontal="center" vertical="center" wrapText="1"/>
    </xf>
    <xf numFmtId="3" fontId="7" fillId="0" borderId="0" xfId="0" applyNumberFormat="1" applyFont="1"/>
    <xf numFmtId="165" fontId="7" fillId="0" borderId="0" xfId="0" applyNumberFormat="1" applyFont="1"/>
    <xf numFmtId="0" fontId="10" fillId="0" borderId="0" xfId="0" applyFont="1"/>
    <xf numFmtId="3" fontId="10" fillId="0" borderId="0" xfId="0" applyNumberFormat="1" applyFont="1"/>
    <xf numFmtId="165" fontId="10" fillId="0" borderId="0" xfId="0" applyNumberFormat="1" applyFont="1"/>
    <xf numFmtId="0" fontId="11" fillId="0" borderId="0" xfId="0" applyFont="1"/>
    <xf numFmtId="49" fontId="7" fillId="0" borderId="0" xfId="0" applyNumberFormat="1" applyFont="1"/>
    <xf numFmtId="0" fontId="12" fillId="0" borderId="0" xfId="0" applyFont="1"/>
    <xf numFmtId="0" fontId="13" fillId="5" borderId="0" xfId="0" applyFont="1" applyFill="1" applyAlignment="1">
      <alignment horizontal="left"/>
    </xf>
    <xf numFmtId="0" fontId="13" fillId="6" borderId="0" xfId="0" applyFont="1" applyFill="1" applyAlignment="1">
      <alignment horizontal="left"/>
    </xf>
    <xf numFmtId="0" fontId="0" fillId="0" borderId="0" xfId="0" applyAlignment="1">
      <alignment horizontal="left"/>
    </xf>
    <xf numFmtId="0" fontId="16" fillId="8" borderId="0" xfId="0" applyFont="1" applyFill="1"/>
    <xf numFmtId="0" fontId="9" fillId="9" borderId="0" xfId="0" applyFont="1" applyFill="1" applyAlignment="1">
      <alignment horizontal="center" vertical="center" wrapText="1"/>
    </xf>
    <xf numFmtId="0" fontId="17" fillId="4" borderId="0" xfId="0" applyFont="1" applyFill="1" applyAlignment="1">
      <alignment horizontal="center" vertical="center" wrapText="1"/>
    </xf>
    <xf numFmtId="0" fontId="18" fillId="0" borderId="0" xfId="0" applyFont="1" applyAlignment="1">
      <alignment horizontal="left"/>
    </xf>
    <xf numFmtId="0" fontId="19" fillId="0" borderId="0" xfId="0" applyFont="1"/>
    <xf numFmtId="0" fontId="5" fillId="3" borderId="0" xfId="0" applyFont="1" applyFill="1"/>
    <xf numFmtId="0" fontId="2" fillId="2" borderId="0" xfId="0" applyFont="1" applyFill="1"/>
    <xf numFmtId="0" fontId="14" fillId="7" borderId="0" xfId="0" applyFont="1" applyFill="1"/>
    <xf numFmtId="0" fontId="15" fillId="0" borderId="0" xfId="0" applyFont="1" applyAlignment="1">
      <alignment wrapText="1"/>
    </xf>
    <xf numFmtId="0" fontId="20" fillId="10" borderId="0" xfId="0" applyFont="1" applyFill="1" applyAlignment="1">
      <alignment vertical="center" wrapText="1" indent="1"/>
    </xf>
    <xf numFmtId="0" fontId="3" fillId="11" borderId="1" xfId="0" applyFont="1" applyFill="1" applyBorder="1" applyAlignment="1">
      <alignment horizontal="center" vertical="center"/>
    </xf>
    <xf numFmtId="0" fontId="3" fillId="12" borderId="1" xfId="0" applyFont="1" applyFill="1" applyBorder="1" applyAlignment="1">
      <alignment horizontal="center" vertical="center"/>
    </xf>
    <xf numFmtId="164" fontId="4" fillId="12" borderId="1" xfId="0" applyNumberFormat="1" applyFont="1" applyFill="1" applyBorder="1" applyAlignment="1">
      <alignment horizontal="center" vertical="center"/>
    </xf>
    <xf numFmtId="0" fontId="3" fillId="13" borderId="1" xfId="0" applyFont="1" applyFill="1" applyBorder="1" applyAlignment="1">
      <alignment horizontal="center" vertical="center"/>
    </xf>
    <xf numFmtId="164" fontId="4" fillId="13" borderId="1" xfId="0" applyNumberFormat="1" applyFont="1" applyFill="1" applyBorder="1" applyAlignment="1">
      <alignment horizontal="center" vertical="center"/>
    </xf>
    <xf numFmtId="0" fontId="3" fillId="14" borderId="1" xfId="0" applyFont="1" applyFill="1" applyBorder="1" applyAlignment="1">
      <alignment horizontal="center" vertical="center"/>
    </xf>
    <xf numFmtId="165" fontId="4" fillId="14" borderId="1" xfId="0" applyNumberFormat="1" applyFont="1" applyFill="1" applyBorder="1" applyAlignment="1">
      <alignment horizontal="center" vertical="center"/>
    </xf>
    <xf numFmtId="0" fontId="3" fillId="15" borderId="1" xfId="0" applyFont="1" applyFill="1" applyBorder="1" applyAlignment="1">
      <alignment horizontal="center" vertical="center"/>
    </xf>
    <xf numFmtId="165" fontId="4" fillId="15" borderId="1" xfId="0" applyNumberFormat="1" applyFont="1" applyFill="1" applyBorder="1" applyAlignment="1">
      <alignment horizontal="center" vertical="center"/>
    </xf>
    <xf numFmtId="0" fontId="3" fillId="16" borderId="1" xfId="0" applyFont="1" applyFill="1" applyBorder="1" applyAlignment="1">
      <alignment horizontal="center" vertical="center"/>
    </xf>
    <xf numFmtId="165" fontId="4" fillId="16" borderId="1" xfId="0" applyNumberFormat="1" applyFont="1" applyFill="1" applyBorder="1" applyAlignment="1">
      <alignment horizontal="center" vertical="center"/>
    </xf>
    <xf numFmtId="0" fontId="1" fillId="17" borderId="0" xfId="0" applyFont="1" applyFill="1" applyAlignment="1">
      <alignment horizontal="left" vertical="center" indent="1"/>
    </xf>
    <xf numFmtId="164" fontId="4" fillId="18" borderId="1" xfId="0" applyNumberFormat="1" applyFont="1" applyFill="1" applyBorder="1" applyAlignment="1">
      <alignment horizontal="center" vertical="center"/>
    </xf>
    <xf numFmtId="0" fontId="18" fillId="0" borderId="0" xfId="0" applyFont="1" applyFill="1"/>
    <xf numFmtId="0" fontId="0" fillId="0" borderId="0" xfId="0" pivotButton="1"/>
    <xf numFmtId="165" fontId="0" fillId="0" borderId="0" xfId="0" applyNumberForma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44546A"/>
      <rgbColor rgb="FFD9D9D9"/>
      <rgbColor rgb="FF8B8B8B"/>
      <rgbColor rgb="FF5B9BD5"/>
      <rgbColor rgb="FF555555"/>
      <rgbColor rgb="FFF3F4F6"/>
      <rgbColor rgb="FFCCFFFF"/>
      <rgbColor rgb="FF660066"/>
      <rgbColor rgb="FFFF8080"/>
      <rgbColor rgb="FF2F5D8A"/>
      <rgbColor rgb="FFD6DCE4"/>
      <rgbColor rgb="FF000080"/>
      <rgbColor rgb="FFFF00FF"/>
      <rgbColor rgb="FFFFFF00"/>
      <rgbColor rgb="FF00FFFF"/>
      <rgbColor rgb="FF800080"/>
      <rgbColor rgb="FF800000"/>
      <rgbColor rgb="FF008080"/>
      <rgbColor rgb="FF0000FF"/>
      <rgbColor rgb="FF00CCFF"/>
      <rgbColor rgb="FFCCFFFF"/>
      <rgbColor rgb="FFE2EFD9"/>
      <rgbColor rgb="FFFFFF99"/>
      <rgbColor rgb="FF99CCFF"/>
      <rgbColor rgb="FFFF99CC"/>
      <rgbColor rgb="FFCC99FF"/>
      <rgbColor rgb="FFFFCC99"/>
      <rgbColor rgb="FF3366FF"/>
      <rgbColor rgb="FF14B8A6"/>
      <rgbColor rgb="FF99CC00"/>
      <rgbColor rgb="FFF5B301"/>
      <rgbColor rgb="FFFF9900"/>
      <rgbColor rgb="FFF97316"/>
      <rgbColor rgb="FF666666"/>
      <rgbColor rgb="FF969696"/>
      <rgbColor rgb="FF17365D"/>
      <rgbColor rgb="FF339966"/>
      <rgbColor rgb="FF003300"/>
      <rgbColor rgb="FF222222"/>
      <rgbColor rgb="FF993300"/>
      <rgbColor rgb="FF8E5BD6"/>
      <rgbColor rgb="FF1F4E78"/>
      <rgbColor rgb="FF1F2A44"/>
      <rgbColor rgb="00003366"/>
      <rgbColor rgb="00339966"/>
      <rgbColor rgb="00003300"/>
      <rgbColor rgb="00333300"/>
      <rgbColor rgb="00993300"/>
      <rgbColor rgb="00993366"/>
      <rgbColor rgb="00333399"/>
      <rgbColor rgb="00333333"/>
    </indexedColors>
    <mruColors>
      <color rgb="FF2C4D8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Registration vs Turnout, 51 States (Q7)</a:t>
            </a:r>
          </a:p>
        </c:rich>
      </c:tx>
      <c:overlay val="0"/>
      <c:spPr>
        <a:noFill/>
        <a:ln>
          <a:noFill/>
        </a:ln>
        <a:effectLst/>
      </c:spPr>
      <c:txPr>
        <a:bodyPr rot="0" spcFirstLastPara="1" vertOverflow="ellipsis"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v>States</c:v>
          </c:tx>
          <c:spPr>
            <a:ln w="25400" cap="rnd">
              <a:noFill/>
              <a:round/>
            </a:ln>
            <a:effectLst/>
          </c:spPr>
          <c:marker>
            <c:symbol val="circle"/>
            <c:size val="6"/>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9525" cap="rnd">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xVal>
            <c:numRef>
              <c:f>Analysis!$F$19:$F$69</c:f>
              <c:numCache>
                <c:formatCode>0.0%</c:formatCode>
                <c:ptCount val="51"/>
                <c:pt idx="0">
                  <c:v>0.73419540229885061</c:v>
                </c:pt>
                <c:pt idx="1">
                  <c:v>0.72727272727272729</c:v>
                </c:pt>
                <c:pt idx="2">
                  <c:v>0.65144843568945543</c:v>
                </c:pt>
                <c:pt idx="3">
                  <c:v>0.65213270142180091</c:v>
                </c:pt>
                <c:pt idx="4">
                  <c:v>0.65573490477410534</c:v>
                </c:pt>
                <c:pt idx="5">
                  <c:v>0.74372001128986731</c:v>
                </c:pt>
                <c:pt idx="6">
                  <c:v>0.70440000000000003</c:v>
                </c:pt>
                <c:pt idx="7">
                  <c:v>0.73052959501557635</c:v>
                </c:pt>
                <c:pt idx="8">
                  <c:v>0.83514099783080264</c:v>
                </c:pt>
                <c:pt idx="9">
                  <c:v>0.68302566411526344</c:v>
                </c:pt>
                <c:pt idx="10">
                  <c:v>0.70733155238943302</c:v>
                </c:pt>
                <c:pt idx="11">
                  <c:v>0.58817204301075265</c:v>
                </c:pt>
                <c:pt idx="12">
                  <c:v>0.6992481203007519</c:v>
                </c:pt>
                <c:pt idx="13">
                  <c:v>0.72743743630392932</c:v>
                </c:pt>
                <c:pt idx="14">
                  <c:v>0.69220999153259954</c:v>
                </c:pt>
                <c:pt idx="15">
                  <c:v>0.78181003584229392</c:v>
                </c:pt>
                <c:pt idx="16">
                  <c:v>0.74316109422492405</c:v>
                </c:pt>
                <c:pt idx="17">
                  <c:v>0.72126526777325395</c:v>
                </c:pt>
                <c:pt idx="18">
                  <c:v>0.77122568694041371</c:v>
                </c:pt>
                <c:pt idx="19">
                  <c:v>0.77156862745098043</c:v>
                </c:pt>
                <c:pt idx="20">
                  <c:v>0.72091862206689961</c:v>
                </c:pt>
                <c:pt idx="21">
                  <c:v>0.78734548501990365</c:v>
                </c:pt>
                <c:pt idx="22">
                  <c:v>0.77767017155506368</c:v>
                </c:pt>
                <c:pt idx="23">
                  <c:v>0.79041762746605171</c:v>
                </c:pt>
                <c:pt idx="24">
                  <c:v>0.84272300469483563</c:v>
                </c:pt>
                <c:pt idx="25">
                  <c:v>0.76729417101383535</c:v>
                </c:pt>
                <c:pt idx="26">
                  <c:v>0.73342175066312998</c:v>
                </c:pt>
                <c:pt idx="27">
                  <c:v>0.69468003084040097</c:v>
                </c:pt>
                <c:pt idx="28">
                  <c:v>0.64988938053097345</c:v>
                </c:pt>
                <c:pt idx="29">
                  <c:v>0.75806451612903225</c:v>
                </c:pt>
                <c:pt idx="30">
                  <c:v>0.72963400236127507</c:v>
                </c:pt>
                <c:pt idx="31">
                  <c:v>0.6865357643758766</c:v>
                </c:pt>
                <c:pt idx="32">
                  <c:v>0.67930586346609589</c:v>
                </c:pt>
                <c:pt idx="33">
                  <c:v>0.78885412010132616</c:v>
                </c:pt>
                <c:pt idx="34">
                  <c:v>0.74563106796116507</c:v>
                </c:pt>
                <c:pt idx="35">
                  <c:v>0.71064327485380119</c:v>
                </c:pt>
                <c:pt idx="36">
                  <c:v>0.66020482809070957</c:v>
                </c:pt>
                <c:pt idx="37">
                  <c:v>0.743142144638404</c:v>
                </c:pt>
                <c:pt idx="38">
                  <c:v>0.71886572849433927</c:v>
                </c:pt>
                <c:pt idx="39">
                  <c:v>0.73501997336884151</c:v>
                </c:pt>
                <c:pt idx="40">
                  <c:v>0.73321502514049097</c:v>
                </c:pt>
                <c:pt idx="41">
                  <c:v>0.74917491749174914</c:v>
                </c:pt>
                <c:pt idx="42">
                  <c:v>0.68640444634459175</c:v>
                </c:pt>
                <c:pt idx="43">
                  <c:v>0.66928153405553481</c:v>
                </c:pt>
                <c:pt idx="44">
                  <c:v>0.63413273842721696</c:v>
                </c:pt>
                <c:pt idx="45">
                  <c:v>0.731006160164271</c:v>
                </c:pt>
                <c:pt idx="46">
                  <c:v>0.74566064470421534</c:v>
                </c:pt>
                <c:pt idx="47">
                  <c:v>0.73101593213325056</c:v>
                </c:pt>
                <c:pt idx="48">
                  <c:v>0.68121968121968124</c:v>
                </c:pt>
                <c:pt idx="49">
                  <c:v>0.78125735813515418</c:v>
                </c:pt>
                <c:pt idx="50">
                  <c:v>0.63961813842482096</c:v>
                </c:pt>
              </c:numCache>
            </c:numRef>
          </c:xVal>
          <c:yVal>
            <c:numRef>
              <c:f>Analysis!$G$19:$G$69</c:f>
              <c:numCache>
                <c:formatCode>0.0%</c:formatCode>
                <c:ptCount val="51"/>
                <c:pt idx="0">
                  <c:v>0.84305283757338556</c:v>
                </c:pt>
                <c:pt idx="1">
                  <c:v>0.80277777777777781</c:v>
                </c:pt>
                <c:pt idx="2">
                  <c:v>0.85805763073639274</c:v>
                </c:pt>
                <c:pt idx="3">
                  <c:v>0.81686046511627908</c:v>
                </c:pt>
                <c:pt idx="4">
                  <c:v>0.87672570982026565</c:v>
                </c:pt>
                <c:pt idx="5">
                  <c:v>0.94686907020872868</c:v>
                </c:pt>
                <c:pt idx="6">
                  <c:v>0.89097103918228282</c:v>
                </c:pt>
                <c:pt idx="7">
                  <c:v>0.91684434968017059</c:v>
                </c:pt>
                <c:pt idx="8">
                  <c:v>0.91168831168831166</c:v>
                </c:pt>
                <c:pt idx="9">
                  <c:v>0.89068336629312239</c:v>
                </c:pt>
                <c:pt idx="10">
                  <c:v>0.87452790600083929</c:v>
                </c:pt>
                <c:pt idx="11">
                  <c:v>0.87934186471663622</c:v>
                </c:pt>
                <c:pt idx="12">
                  <c:v>0.91397849462365588</c:v>
                </c:pt>
                <c:pt idx="13">
                  <c:v>0.84495641344956418</c:v>
                </c:pt>
                <c:pt idx="14">
                  <c:v>0.85657492354740061</c:v>
                </c:pt>
                <c:pt idx="15">
                  <c:v>0.88710601719197713</c:v>
                </c:pt>
                <c:pt idx="16">
                  <c:v>0.8513974096796183</c:v>
                </c:pt>
                <c:pt idx="17">
                  <c:v>0.82283977420755539</c:v>
                </c:pt>
                <c:pt idx="18">
                  <c:v>0.86028823058446757</c:v>
                </c:pt>
                <c:pt idx="19">
                  <c:v>0.8881829733163914</c:v>
                </c:pt>
                <c:pt idx="20">
                  <c:v>0.90373961218836563</c:v>
                </c:pt>
                <c:pt idx="21">
                  <c:v>0.89994678020223529</c:v>
                </c:pt>
                <c:pt idx="22">
                  <c:v>0.85945561288027039</c:v>
                </c:pt>
                <c:pt idx="23">
                  <c:v>0.92674230145867098</c:v>
                </c:pt>
                <c:pt idx="24">
                  <c:v>0.88467966573816159</c:v>
                </c:pt>
                <c:pt idx="25">
                  <c:v>0.83298847177061774</c:v>
                </c:pt>
                <c:pt idx="26">
                  <c:v>0.89511754068716098</c:v>
                </c:pt>
                <c:pt idx="27">
                  <c:v>0.8867924528301887</c:v>
                </c:pt>
                <c:pt idx="28">
                  <c:v>0.89191489361702125</c:v>
                </c:pt>
                <c:pt idx="29">
                  <c:v>0.91489361702127658</c:v>
                </c:pt>
                <c:pt idx="30">
                  <c:v>0.8483587609801202</c:v>
                </c:pt>
                <c:pt idx="31">
                  <c:v>0.89683350357507663</c:v>
                </c:pt>
                <c:pt idx="32">
                  <c:v>0.86383074499212242</c:v>
                </c:pt>
                <c:pt idx="33">
                  <c:v>0.87344163203626746</c:v>
                </c:pt>
                <c:pt idx="34">
                  <c:v>0.85416666666666663</c:v>
                </c:pt>
                <c:pt idx="35">
                  <c:v>0.88791968400263332</c:v>
                </c:pt>
                <c:pt idx="36">
                  <c:v>0.79279778393351796</c:v>
                </c:pt>
                <c:pt idx="37">
                  <c:v>0.90939597315436238</c:v>
                </c:pt>
                <c:pt idx="38">
                  <c:v>0.85722696496909034</c:v>
                </c:pt>
                <c:pt idx="39">
                  <c:v>0.84963768115942029</c:v>
                </c:pt>
                <c:pt idx="40">
                  <c:v>0.88221056877773296</c:v>
                </c:pt>
                <c:pt idx="41">
                  <c:v>0.81718061674008813</c:v>
                </c:pt>
                <c:pt idx="42">
                  <c:v>0.81158517595764557</c:v>
                </c:pt>
                <c:pt idx="43">
                  <c:v>0.80400000000000005</c:v>
                </c:pt>
                <c:pt idx="44">
                  <c:v>0.89885664028144241</c:v>
                </c:pt>
                <c:pt idx="45">
                  <c:v>0.86235955056179781</c:v>
                </c:pt>
                <c:pt idx="46">
                  <c:v>0.89738717339667462</c:v>
                </c:pt>
                <c:pt idx="47">
                  <c:v>0.89782054910840647</c:v>
                </c:pt>
                <c:pt idx="48">
                  <c:v>0.70091556459816884</c:v>
                </c:pt>
                <c:pt idx="49">
                  <c:v>0.94273658830620854</c:v>
                </c:pt>
                <c:pt idx="50">
                  <c:v>0.92164179104477617</c:v>
                </c:pt>
              </c:numCache>
            </c:numRef>
          </c:yVal>
          <c:smooth val="1"/>
          <c:extLst>
            <c:ext xmlns:c16="http://schemas.microsoft.com/office/drawing/2014/chart" uri="{C3380CC4-5D6E-409C-BE32-E72D297353CC}">
              <c16:uniqueId val="{00000000-72F6-43F5-B752-030532453BC2}"/>
            </c:ext>
          </c:extLst>
        </c:ser>
        <c:dLbls>
          <c:showLegendKey val="0"/>
          <c:showVal val="0"/>
          <c:showCatName val="0"/>
          <c:showSerName val="0"/>
          <c:showPercent val="0"/>
          <c:showBubbleSize val="0"/>
        </c:dLbls>
        <c:axId val="50459379"/>
        <c:axId val="24860540"/>
      </c:scatterChart>
      <c:valAx>
        <c:axId val="50459379"/>
        <c:scaling>
          <c:orientation val="minMax"/>
          <c:min val="0.4"/>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wrap="square" anchor="ctr" anchorCtr="1"/>
              <a:lstStyle/>
              <a:p>
                <a:pPr>
                  <a:defRPr sz="900" b="1" i="0" u="none" strike="noStrike" kern="1200" cap="all" baseline="0">
                    <a:solidFill>
                      <a:schemeClr val="lt1">
                        <a:lumMod val="75000"/>
                      </a:schemeClr>
                    </a:solidFill>
                    <a:latin typeface="+mn-lt"/>
                    <a:ea typeface="+mn-ea"/>
                    <a:cs typeface="+mn-cs"/>
                  </a:defRPr>
                </a:pPr>
                <a:r>
                  <a:rPr lang="en-US"/>
                  <a:t>Registration rate</a:t>
                </a:r>
              </a:p>
            </c:rich>
          </c:tx>
          <c:overlay val="0"/>
          <c:spPr>
            <a:noFill/>
            <a:ln>
              <a:noFill/>
            </a:ln>
            <a:effectLst/>
          </c:spPr>
          <c:txPr>
            <a:bodyPr rot="0" spcFirstLastPara="1" vertOverflow="ellipsis"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4860540"/>
        <c:crosses val="autoZero"/>
        <c:crossBetween val="midCat"/>
      </c:valAx>
      <c:valAx>
        <c:axId val="24860540"/>
        <c:scaling>
          <c:orientation val="minMax"/>
          <c:max val="1"/>
          <c:min val="0.6"/>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wrap="square" anchor="ctr" anchorCtr="1"/>
              <a:lstStyle/>
              <a:p>
                <a:pPr>
                  <a:defRPr sz="900" b="1" i="0" u="none" strike="noStrike" kern="1200" cap="all" baseline="0">
                    <a:solidFill>
                      <a:schemeClr val="lt1">
                        <a:lumMod val="75000"/>
                      </a:schemeClr>
                    </a:solidFill>
                    <a:latin typeface="+mn-lt"/>
                    <a:ea typeface="+mn-ea"/>
                    <a:cs typeface="+mn-cs"/>
                  </a:defRPr>
                </a:pPr>
                <a:r>
                  <a:rPr lang="en-US"/>
                  <a:t>Turnout rate</a:t>
                </a:r>
              </a:p>
            </c:rich>
          </c:tx>
          <c:overlay val="0"/>
          <c:spPr>
            <a:noFill/>
            <a:ln>
              <a:noFill/>
            </a:ln>
            <a:effectLst/>
          </c:spPr>
          <c:txPr>
            <a:bodyPr rot="-5400000" spcFirstLastPara="1" vertOverflow="ellipsis"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459379"/>
        <c:crosses val="autoZero"/>
        <c:crossBetween val="midCat"/>
      </c:valAx>
      <c:spPr>
        <a:noFill/>
        <a:ln>
          <a:noFill/>
        </a:ln>
        <a:effectLst/>
      </c:spPr>
    </c:plotArea>
    <c:plotVisOnly val="1"/>
    <c:dispBlanksAs val="gap"/>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wrap="square" anchor="ctr" anchorCtr="1"/>
          <a:lstStyle/>
          <a:p>
            <a:pPr>
              <a:defRPr sz="1400" b="1" i="0" u="none" strike="noStrike" kern="1200" cap="none" baseline="0">
                <a:solidFill>
                  <a:schemeClr val="lt1">
                    <a:lumMod val="85000"/>
                  </a:schemeClr>
                </a:solidFill>
                <a:latin typeface="+mn-lt"/>
                <a:ea typeface="+mn-ea"/>
                <a:cs typeface="+mn-cs"/>
              </a:defRPr>
            </a:pPr>
            <a:r>
              <a:rPr lang="en-US"/>
              <a:t>Top 10 States by Turnout (Q2)</a:t>
            </a:r>
          </a:p>
        </c:rich>
      </c:tx>
      <c:overlay val="0"/>
      <c:spPr>
        <a:noFill/>
        <a:ln>
          <a:noFill/>
        </a:ln>
        <a:effectLst/>
      </c:spPr>
      <c:txPr>
        <a:bodyPr rot="0" spcFirstLastPara="1" vertOverflow="ellipsis"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Analysis!$S$18</c:f>
              <c:strCache>
                <c:ptCount val="1"/>
                <c:pt idx="0">
                  <c:v>Turnout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Analysis!$R$19:$R$28</c:f>
              <c:strCache>
                <c:ptCount val="10"/>
                <c:pt idx="0">
                  <c:v>Colorado</c:v>
                </c:pt>
                <c:pt idx="1">
                  <c:v>Wisconsin</c:v>
                </c:pt>
                <c:pt idx="2">
                  <c:v>Minnesota</c:v>
                </c:pt>
                <c:pt idx="3">
                  <c:v>Wyoming</c:v>
                </c:pt>
                <c:pt idx="4">
                  <c:v>Delaware</c:v>
                </c:pt>
                <c:pt idx="5">
                  <c:v>New Hampshire</c:v>
                </c:pt>
                <c:pt idx="6">
                  <c:v>Idaho</c:v>
                </c:pt>
                <c:pt idx="7">
                  <c:v>District Of Columbia</c:v>
                </c:pt>
                <c:pt idx="8">
                  <c:v>Oregon</c:v>
                </c:pt>
                <c:pt idx="9">
                  <c:v>Maryland</c:v>
                </c:pt>
              </c:strCache>
            </c:strRef>
          </c:cat>
          <c:val>
            <c:numRef>
              <c:f>Analysis!$S$19:$S$28</c:f>
              <c:numCache>
                <c:formatCode>0.0%</c:formatCode>
                <c:ptCount val="10"/>
                <c:pt idx="0">
                  <c:v>0.94686907020872868</c:v>
                </c:pt>
                <c:pt idx="1">
                  <c:v>0.94273658830620854</c:v>
                </c:pt>
                <c:pt idx="2">
                  <c:v>0.92674230145867098</c:v>
                </c:pt>
                <c:pt idx="3">
                  <c:v>0.92164179104477617</c:v>
                </c:pt>
                <c:pt idx="4">
                  <c:v>0.91684434968017059</c:v>
                </c:pt>
                <c:pt idx="5">
                  <c:v>0.91489361702127658</c:v>
                </c:pt>
                <c:pt idx="6">
                  <c:v>0.91397849462365588</c:v>
                </c:pt>
                <c:pt idx="7">
                  <c:v>0.91168831168831166</c:v>
                </c:pt>
                <c:pt idx="8">
                  <c:v>0.90939597315436238</c:v>
                </c:pt>
                <c:pt idx="9">
                  <c:v>0.90373961218836563</c:v>
                </c:pt>
              </c:numCache>
            </c:numRef>
          </c:val>
          <c:extLst>
            <c:ext xmlns:c16="http://schemas.microsoft.com/office/drawing/2014/chart" uri="{C3380CC4-5D6E-409C-BE32-E72D297353CC}">
              <c16:uniqueId val="{00000000-1D1D-4E41-9C86-76C58860CB68}"/>
            </c:ext>
          </c:extLst>
        </c:ser>
        <c:dLbls>
          <c:showLegendKey val="0"/>
          <c:showVal val="0"/>
          <c:showCatName val="0"/>
          <c:showSerName val="0"/>
          <c:showPercent val="0"/>
          <c:showBubbleSize val="0"/>
        </c:dLbls>
        <c:gapWidth val="182"/>
        <c:overlap val="-50"/>
        <c:axId val="5877846"/>
        <c:axId val="31326975"/>
      </c:barChart>
      <c:catAx>
        <c:axId val="5877846"/>
        <c:scaling>
          <c:orientation val="maxMin"/>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326975"/>
        <c:crosses val="autoZero"/>
        <c:auto val="1"/>
        <c:lblAlgn val="ctr"/>
        <c:lblOffset val="100"/>
        <c:noMultiLvlLbl val="0"/>
      </c:catAx>
      <c:valAx>
        <c:axId val="31326975"/>
        <c:scaling>
          <c:orientation val="minMax"/>
        </c:scaling>
        <c:delete val="0"/>
        <c:axPos val="t"/>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877846"/>
        <c:crosses val="autoZero"/>
        <c:crossBetween val="between"/>
      </c:valAx>
      <c:spPr>
        <a:noFill/>
        <a:ln>
          <a:noFill/>
        </a:ln>
        <a:effectLst/>
      </c:spPr>
    </c:plotArea>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wrap="square" anchor="ctr" anchorCtr="1"/>
          <a:lstStyle/>
          <a:p>
            <a:pPr>
              <a:defRPr sz="1400" b="1" i="0" u="none" strike="noStrike" kern="1200" cap="none" baseline="0">
                <a:solidFill>
                  <a:schemeClr val="lt1">
                    <a:lumMod val="85000"/>
                  </a:schemeClr>
                </a:solidFill>
                <a:latin typeface="+mn-lt"/>
                <a:ea typeface="+mn-ea"/>
                <a:cs typeface="+mn-cs"/>
              </a:defRPr>
            </a:pPr>
            <a:r>
              <a:rPr lang="en-US"/>
              <a:t>Top 10 Citizen–Registered Gap (Q3)</a:t>
            </a:r>
          </a:p>
        </c:rich>
      </c:tx>
      <c:overlay val="0"/>
      <c:spPr>
        <a:noFill/>
        <a:ln>
          <a:noFill/>
        </a:ln>
        <a:effectLst/>
      </c:spPr>
      <c:txPr>
        <a:bodyPr rot="0" spcFirstLastPara="1" vertOverflow="ellipsis"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Analysis!$V$18</c:f>
              <c:strCache>
                <c:ptCount val="1"/>
                <c:pt idx="0">
                  <c:v>Gap</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Analysis!$U$19:$U$28</c:f>
              <c:strCache>
                <c:ptCount val="10"/>
                <c:pt idx="0">
                  <c:v>California</c:v>
                </c:pt>
                <c:pt idx="1">
                  <c:v>Texas</c:v>
                </c:pt>
                <c:pt idx="2">
                  <c:v>Florida</c:v>
                </c:pt>
                <c:pt idx="3">
                  <c:v>New York</c:v>
                </c:pt>
                <c:pt idx="4">
                  <c:v>Pennsylvania</c:v>
                </c:pt>
                <c:pt idx="5">
                  <c:v>Ohio</c:v>
                </c:pt>
                <c:pt idx="6">
                  <c:v>Illinois</c:v>
                </c:pt>
                <c:pt idx="7">
                  <c:v>Georgia</c:v>
                </c:pt>
                <c:pt idx="8">
                  <c:v>Michigan</c:v>
                </c:pt>
                <c:pt idx="9">
                  <c:v>New Jersey</c:v>
                </c:pt>
              </c:strCache>
            </c:strRef>
          </c:cat>
          <c:val>
            <c:numRef>
              <c:f>Analysis!$V$19:$V$28</c:f>
              <c:numCache>
                <c:formatCode>#,##0</c:formatCode>
                <c:ptCount val="10"/>
                <c:pt idx="0">
                  <c:v>8062000</c:v>
                </c:pt>
                <c:pt idx="1">
                  <c:v>5312000</c:v>
                </c:pt>
                <c:pt idx="2">
                  <c:v>4224000</c:v>
                </c:pt>
                <c:pt idx="3">
                  <c:v>4195000</c:v>
                </c:pt>
                <c:pt idx="4">
                  <c:v>2657000</c:v>
                </c:pt>
                <c:pt idx="5">
                  <c:v>2474000</c:v>
                </c:pt>
                <c:pt idx="6">
                  <c:v>2407000</c:v>
                </c:pt>
                <c:pt idx="7">
                  <c:v>1972000</c:v>
                </c:pt>
                <c:pt idx="8">
                  <c:v>1607000</c:v>
                </c:pt>
                <c:pt idx="9">
                  <c:v>1603000</c:v>
                </c:pt>
              </c:numCache>
            </c:numRef>
          </c:val>
          <c:extLst>
            <c:ext xmlns:c16="http://schemas.microsoft.com/office/drawing/2014/chart" uri="{C3380CC4-5D6E-409C-BE32-E72D297353CC}">
              <c16:uniqueId val="{00000000-AB37-40CB-AD12-1DDF74027D9F}"/>
            </c:ext>
          </c:extLst>
        </c:ser>
        <c:dLbls>
          <c:showLegendKey val="0"/>
          <c:showVal val="0"/>
          <c:showCatName val="0"/>
          <c:showSerName val="0"/>
          <c:showPercent val="0"/>
          <c:showBubbleSize val="0"/>
        </c:dLbls>
        <c:gapWidth val="182"/>
        <c:overlap val="-50"/>
        <c:axId val="37245419"/>
        <c:axId val="78545295"/>
      </c:barChart>
      <c:catAx>
        <c:axId val="37245419"/>
        <c:scaling>
          <c:orientation val="maxMin"/>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545295"/>
        <c:crosses val="autoZero"/>
        <c:auto val="1"/>
        <c:lblAlgn val="ctr"/>
        <c:lblOffset val="100"/>
        <c:noMultiLvlLbl val="0"/>
      </c:catAx>
      <c:valAx>
        <c:axId val="78545295"/>
        <c:scaling>
          <c:orientation val="minMax"/>
        </c:scaling>
        <c:delete val="0"/>
        <c:axPos val="t"/>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M"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7245419"/>
        <c:crosses val="autoZero"/>
        <c:crossBetween val="between"/>
      </c:valAx>
      <c:spPr>
        <a:noFill/>
        <a:ln>
          <a:noFill/>
        </a:ln>
        <a:effectLst/>
      </c:spPr>
    </c:plotArea>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wrap="square" anchor="ctr" anchorCtr="1"/>
          <a:lstStyle/>
          <a:p>
            <a:pPr>
              <a:defRPr sz="1400" b="1" i="0" u="none" strike="noStrike" kern="1200" cap="none" baseline="0">
                <a:solidFill>
                  <a:schemeClr val="lt1">
                    <a:lumMod val="85000"/>
                  </a:schemeClr>
                </a:solidFill>
                <a:latin typeface="+mn-lt"/>
                <a:ea typeface="+mn-ea"/>
                <a:cs typeface="+mn-cs"/>
              </a:defRPr>
            </a:pPr>
            <a:r>
              <a:rPr lang="en-US"/>
              <a:t>Top 10 States by Confirmed Voters (Q5)</a:t>
            </a:r>
          </a:p>
        </c:rich>
      </c:tx>
      <c:overlay val="0"/>
      <c:spPr>
        <a:noFill/>
        <a:ln>
          <a:noFill/>
        </a:ln>
        <a:effectLst/>
      </c:spPr>
      <c:txPr>
        <a:bodyPr rot="0" spcFirstLastPara="1" vertOverflow="ellipsis"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Analysis!$Y$18</c:f>
              <c:strCache>
                <c:ptCount val="1"/>
                <c:pt idx="0">
                  <c:v>Confirmed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Analysis!$X$19:$X$28</c:f>
              <c:strCache>
                <c:ptCount val="10"/>
                <c:pt idx="0">
                  <c:v>California</c:v>
                </c:pt>
                <c:pt idx="1">
                  <c:v>Texas</c:v>
                </c:pt>
                <c:pt idx="2">
                  <c:v>Florida</c:v>
                </c:pt>
                <c:pt idx="3">
                  <c:v>New York</c:v>
                </c:pt>
                <c:pt idx="4">
                  <c:v>Pennsylvania</c:v>
                </c:pt>
                <c:pt idx="5">
                  <c:v>Illinois</c:v>
                </c:pt>
                <c:pt idx="6">
                  <c:v>Ohio</c:v>
                </c:pt>
                <c:pt idx="7">
                  <c:v>Michigan</c:v>
                </c:pt>
                <c:pt idx="8">
                  <c:v>North Carolina</c:v>
                </c:pt>
                <c:pt idx="9">
                  <c:v>Georgia</c:v>
                </c:pt>
              </c:strCache>
            </c:strRef>
          </c:cat>
          <c:val>
            <c:numRef>
              <c:f>Analysis!$Y$19:$Y$28</c:f>
              <c:numCache>
                <c:formatCode>#,##0</c:formatCode>
                <c:ptCount val="10"/>
                <c:pt idx="0">
                  <c:v>13463000</c:v>
                </c:pt>
                <c:pt idx="1">
                  <c:v>8643000</c:v>
                </c:pt>
                <c:pt idx="2">
                  <c:v>8107000</c:v>
                </c:pt>
                <c:pt idx="3">
                  <c:v>7676000</c:v>
                </c:pt>
                <c:pt idx="4">
                  <c:v>5824000</c:v>
                </c:pt>
                <c:pt idx="5">
                  <c:v>5428000</c:v>
                </c:pt>
                <c:pt idx="6">
                  <c:v>5395000</c:v>
                </c:pt>
                <c:pt idx="7">
                  <c:v>4831000</c:v>
                </c:pt>
                <c:pt idx="8">
                  <c:v>4624000</c:v>
                </c:pt>
                <c:pt idx="9">
                  <c:v>4168000</c:v>
                </c:pt>
              </c:numCache>
            </c:numRef>
          </c:val>
          <c:extLst>
            <c:ext xmlns:c16="http://schemas.microsoft.com/office/drawing/2014/chart" uri="{C3380CC4-5D6E-409C-BE32-E72D297353CC}">
              <c16:uniqueId val="{00000000-CDD9-4875-B15C-20EA9301D665}"/>
            </c:ext>
          </c:extLst>
        </c:ser>
        <c:dLbls>
          <c:showLegendKey val="0"/>
          <c:showVal val="0"/>
          <c:showCatName val="0"/>
          <c:showSerName val="0"/>
          <c:showPercent val="0"/>
          <c:showBubbleSize val="0"/>
        </c:dLbls>
        <c:gapWidth val="182"/>
        <c:overlap val="-50"/>
        <c:axId val="12063215"/>
        <c:axId val="49313200"/>
      </c:barChart>
      <c:catAx>
        <c:axId val="12063215"/>
        <c:scaling>
          <c:orientation val="maxMin"/>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313200"/>
        <c:crosses val="autoZero"/>
        <c:auto val="1"/>
        <c:lblAlgn val="ctr"/>
        <c:lblOffset val="100"/>
        <c:noMultiLvlLbl val="0"/>
      </c:catAx>
      <c:valAx>
        <c:axId val="49313200"/>
        <c:scaling>
          <c:orientation val="minMax"/>
        </c:scaling>
        <c:delete val="0"/>
        <c:axPos val="t"/>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M"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63215"/>
        <c:crosses val="autoZero"/>
        <c:crossBetween val="between"/>
      </c:valAx>
      <c:spPr>
        <a:noFill/>
        <a:ln>
          <a:noFill/>
        </a:ln>
        <a:effectLst/>
      </c:spPr>
    </c:plotArea>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wrap="square" anchor="ctr" anchorCtr="1"/>
          <a:lstStyle/>
          <a:p>
            <a:pPr>
              <a:defRPr sz="1400" b="1" i="0" u="none" strike="noStrike" kern="1200" cap="none" baseline="0">
                <a:solidFill>
                  <a:schemeClr val="lt1">
                    <a:lumMod val="85000"/>
                  </a:schemeClr>
                </a:solidFill>
                <a:latin typeface="+mn-lt"/>
                <a:ea typeface="+mn-ea"/>
                <a:cs typeface="+mn-cs"/>
              </a:defRPr>
            </a:pPr>
            <a:r>
              <a:rPr lang="en-US"/>
              <a:t>Top 10 Voter Penetration (Q8)</a:t>
            </a:r>
          </a:p>
        </c:rich>
      </c:tx>
      <c:overlay val="0"/>
      <c:spPr>
        <a:noFill/>
        <a:ln>
          <a:noFill/>
        </a:ln>
        <a:effectLst/>
      </c:spPr>
      <c:txPr>
        <a:bodyPr rot="0" spcFirstLastPara="1" vertOverflow="ellipsis"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Analysis!$AC$18</c:f>
              <c:strCache>
                <c:ptCount val="1"/>
                <c:pt idx="0">
                  <c:v>Penetration</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Analysis!$AB$19:$AB$28</c:f>
              <c:strCache>
                <c:ptCount val="10"/>
                <c:pt idx="0">
                  <c:v>Mississippi</c:v>
                </c:pt>
                <c:pt idx="1">
                  <c:v>Wisconsin</c:v>
                </c:pt>
                <c:pt idx="2">
                  <c:v>Minnesota</c:v>
                </c:pt>
                <c:pt idx="3">
                  <c:v>District Of Columbia</c:v>
                </c:pt>
                <c:pt idx="4">
                  <c:v>Maine</c:v>
                </c:pt>
                <c:pt idx="5">
                  <c:v>New Hampshire</c:v>
                </c:pt>
                <c:pt idx="6">
                  <c:v>Iowa</c:v>
                </c:pt>
                <c:pt idx="7">
                  <c:v>Massachusetts</c:v>
                </c:pt>
                <c:pt idx="8">
                  <c:v>Colorado</c:v>
                </c:pt>
                <c:pt idx="9">
                  <c:v>Louisiana</c:v>
                </c:pt>
              </c:strCache>
            </c:strRef>
          </c:cat>
          <c:val>
            <c:numRef>
              <c:f>Analysis!$AC$19:$AC$28</c:f>
              <c:numCache>
                <c:formatCode>0.0%</c:formatCode>
                <c:ptCount val="10"/>
                <c:pt idx="0">
                  <c:v>0.73281033687125052</c:v>
                </c:pt>
                <c:pt idx="1">
                  <c:v>0.71891519190990572</c:v>
                </c:pt>
                <c:pt idx="2">
                  <c:v>0.7052294030587074</c:v>
                </c:pt>
                <c:pt idx="3">
                  <c:v>0.67891682785299812</c:v>
                </c:pt>
                <c:pt idx="4">
                  <c:v>0.67146974063400577</c:v>
                </c:pt>
                <c:pt idx="5">
                  <c:v>0.66861030126336252</c:v>
                </c:pt>
                <c:pt idx="6">
                  <c:v>0.66752910737386806</c:v>
                </c:pt>
                <c:pt idx="7">
                  <c:v>0.65415860735009668</c:v>
                </c:pt>
                <c:pt idx="8">
                  <c:v>0.65365470264605707</c:v>
                </c:pt>
                <c:pt idx="9">
                  <c:v>0.64728915662650599</c:v>
                </c:pt>
              </c:numCache>
            </c:numRef>
          </c:val>
          <c:extLst>
            <c:ext xmlns:c16="http://schemas.microsoft.com/office/drawing/2014/chart" uri="{C3380CC4-5D6E-409C-BE32-E72D297353CC}">
              <c16:uniqueId val="{00000000-53B4-46D8-B604-753B5F78EC52}"/>
            </c:ext>
          </c:extLst>
        </c:ser>
        <c:dLbls>
          <c:showLegendKey val="0"/>
          <c:showVal val="0"/>
          <c:showCatName val="0"/>
          <c:showSerName val="0"/>
          <c:showPercent val="0"/>
          <c:showBubbleSize val="0"/>
        </c:dLbls>
        <c:gapWidth val="182"/>
        <c:overlap val="-50"/>
        <c:axId val="2888590"/>
        <c:axId val="97812295"/>
      </c:barChart>
      <c:catAx>
        <c:axId val="2888590"/>
        <c:scaling>
          <c:orientation val="maxMin"/>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7812295"/>
        <c:crosses val="autoZero"/>
        <c:auto val="1"/>
        <c:lblAlgn val="ctr"/>
        <c:lblOffset val="100"/>
        <c:noMultiLvlLbl val="0"/>
      </c:catAx>
      <c:valAx>
        <c:axId val="97812295"/>
        <c:scaling>
          <c:orientation val="minMax"/>
        </c:scaling>
        <c:delete val="0"/>
        <c:axPos val="t"/>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888590"/>
        <c:crosses val="autoZero"/>
        <c:crossBetween val="between"/>
      </c:valAx>
      <c:spPr>
        <a:noFill/>
        <a:ln>
          <a:noFill/>
        </a:ln>
        <a:effectLst/>
      </c:spPr>
    </c:plotArea>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wrap="square" anchor="ctr" anchorCtr="1"/>
          <a:lstStyle/>
          <a:p>
            <a:pPr>
              <a:defRPr sz="1400" b="1" i="0" u="none" strike="noStrike" kern="1200" cap="none" baseline="0">
                <a:solidFill>
                  <a:schemeClr val="lt1">
                    <a:lumMod val="85000"/>
                  </a:schemeClr>
                </a:solidFill>
                <a:latin typeface="+mn-lt"/>
                <a:ea typeface="+mn-ea"/>
                <a:cs typeface="+mn-cs"/>
              </a:defRPr>
            </a:pPr>
            <a:r>
              <a:rPr lang="en-US"/>
              <a:t>Strong Registration, Lowest Turnout (Q7)</a:t>
            </a:r>
          </a:p>
        </c:rich>
      </c:tx>
      <c:overlay val="0"/>
      <c:spPr>
        <a:noFill/>
        <a:ln>
          <a:noFill/>
        </a:ln>
        <a:effectLst/>
      </c:spPr>
      <c:txPr>
        <a:bodyPr rot="0" spcFirstLastPara="1" vertOverflow="ellipsis"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Analysis!$AG$18</c:f>
              <c:strCache>
                <c:ptCount val="1"/>
                <c:pt idx="0">
                  <c:v>Turnout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Analysis!$AE$19:$AE$28</c:f>
              <c:strCache>
                <c:ptCount val="10"/>
                <c:pt idx="0">
                  <c:v>South Dakota</c:v>
                </c:pt>
                <c:pt idx="1">
                  <c:v>Missouri</c:v>
                </c:pt>
                <c:pt idx="2">
                  <c:v>Alabama</c:v>
                </c:pt>
                <c:pt idx="3">
                  <c:v>New Jersey</c:v>
                </c:pt>
                <c:pt idx="4">
                  <c:v>Rhode Island</c:v>
                </c:pt>
                <c:pt idx="5">
                  <c:v>Kansas</c:v>
                </c:pt>
                <c:pt idx="6">
                  <c:v>North Dakota</c:v>
                </c:pt>
                <c:pt idx="7">
                  <c:v>Michigan</c:v>
                </c:pt>
                <c:pt idx="8">
                  <c:v>Louisiana</c:v>
                </c:pt>
                <c:pt idx="9">
                  <c:v>Vermont</c:v>
                </c:pt>
              </c:strCache>
            </c:strRef>
          </c:cat>
          <c:val>
            <c:numRef>
              <c:f>Analysis!$AG$19:$AG$28</c:f>
              <c:numCache>
                <c:formatCode>0.0%</c:formatCode>
                <c:ptCount val="10"/>
                <c:pt idx="0">
                  <c:v>0.81718061674008813</c:v>
                </c:pt>
                <c:pt idx="1">
                  <c:v>0.83298847177061774</c:v>
                </c:pt>
                <c:pt idx="2">
                  <c:v>0.84305283757338556</c:v>
                </c:pt>
                <c:pt idx="3">
                  <c:v>0.8483587609801202</c:v>
                </c:pt>
                <c:pt idx="4">
                  <c:v>0.84963768115942029</c:v>
                </c:pt>
                <c:pt idx="5">
                  <c:v>0.8513974096796183</c:v>
                </c:pt>
                <c:pt idx="6">
                  <c:v>0.85416666666666663</c:v>
                </c:pt>
                <c:pt idx="7">
                  <c:v>0.85945561288027039</c:v>
                </c:pt>
                <c:pt idx="8">
                  <c:v>0.86028823058446757</c:v>
                </c:pt>
                <c:pt idx="9">
                  <c:v>0.86235955056179781</c:v>
                </c:pt>
              </c:numCache>
            </c:numRef>
          </c:val>
          <c:extLst>
            <c:ext xmlns:c16="http://schemas.microsoft.com/office/drawing/2014/chart" uri="{C3380CC4-5D6E-409C-BE32-E72D297353CC}">
              <c16:uniqueId val="{00000000-4477-4C77-880E-83AC9E7F1972}"/>
            </c:ext>
          </c:extLst>
        </c:ser>
        <c:dLbls>
          <c:showLegendKey val="0"/>
          <c:showVal val="0"/>
          <c:showCatName val="0"/>
          <c:showSerName val="0"/>
          <c:showPercent val="0"/>
          <c:showBubbleSize val="0"/>
        </c:dLbls>
        <c:gapWidth val="182"/>
        <c:overlap val="-50"/>
        <c:axId val="92464082"/>
        <c:axId val="15260157"/>
      </c:barChart>
      <c:catAx>
        <c:axId val="92464082"/>
        <c:scaling>
          <c:orientation val="maxMin"/>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260157"/>
        <c:crosses val="autoZero"/>
        <c:auto val="1"/>
        <c:lblAlgn val="ctr"/>
        <c:lblOffset val="100"/>
        <c:noMultiLvlLbl val="0"/>
      </c:catAx>
      <c:valAx>
        <c:axId val="15260157"/>
        <c:scaling>
          <c:orientation val="minMax"/>
        </c:scaling>
        <c:delete val="0"/>
        <c:axPos val="t"/>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464082"/>
        <c:crosses val="autoZero"/>
        <c:crossBetween val="between"/>
      </c:valAx>
      <c:spPr>
        <a:noFill/>
        <a:ln>
          <a:noFill/>
        </a:ln>
        <a:effectLst/>
      </c:spPr>
    </c:plotArea>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Share of Confirmed Q6</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Analysis!$I$8</c:f>
              <c:strCache>
                <c:ptCount val="1"/>
                <c:pt idx="0">
                  <c:v>Share of Confirmed</c:v>
                </c:pt>
              </c:strCache>
            </c:strRef>
          </c:tx>
          <c:dPt>
            <c:idx val="0"/>
            <c:bubble3D val="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extLst>
              <c:ext xmlns:c16="http://schemas.microsoft.com/office/drawing/2014/chart" uri="{C3380CC4-5D6E-409C-BE32-E72D297353CC}">
                <c16:uniqueId val="{00000001-2C71-46F8-9C2D-0E947C872800}"/>
              </c:ext>
            </c:extLst>
          </c:dPt>
          <c:dPt>
            <c:idx val="1"/>
            <c:bubble3D val="0"/>
            <c:spPr>
              <a:gradFill>
                <a:gsLst>
                  <a:gs pos="0">
                    <a:schemeClr val="accent2">
                      <a:lumMod val="102000"/>
                      <a:tint val="94000"/>
                    </a:schemeClr>
                  </a:gs>
                  <a:gs pos="50000">
                    <a:schemeClr val="accent2">
                      <a:lumMod val="100000"/>
                      <a:shade val="100000"/>
                    </a:schemeClr>
                  </a:gs>
                  <a:gs pos="100000">
                    <a:schemeClr val="accent2">
                      <a:lumMod val="99000"/>
                      <a:shade val="78000"/>
                    </a:schemeClr>
                  </a:gs>
                </a:gsLst>
                <a:lin ang="5400000" scaled="0"/>
                <a:tileRect/>
              </a:gradFill>
              <a:ln>
                <a:noFill/>
              </a:ln>
              <a:effectLst/>
            </c:spPr>
            <c:extLst>
              <c:ext xmlns:c16="http://schemas.microsoft.com/office/drawing/2014/chart" uri="{C3380CC4-5D6E-409C-BE32-E72D297353CC}">
                <c16:uniqueId val="{00000003-2C71-46F8-9C2D-0E947C872800}"/>
              </c:ext>
            </c:extLst>
          </c:dPt>
          <c:dPt>
            <c:idx val="2"/>
            <c:bubble3D val="0"/>
            <c:spPr>
              <a:gradFill>
                <a:gsLst>
                  <a:gs pos="0">
                    <a:schemeClr val="accent3">
                      <a:lumMod val="102000"/>
                      <a:tint val="94000"/>
                    </a:schemeClr>
                  </a:gs>
                  <a:gs pos="50000">
                    <a:schemeClr val="accent3">
                      <a:lumMod val="100000"/>
                      <a:shade val="100000"/>
                    </a:schemeClr>
                  </a:gs>
                  <a:gs pos="100000">
                    <a:schemeClr val="accent3">
                      <a:lumMod val="99000"/>
                      <a:shade val="78000"/>
                    </a:schemeClr>
                  </a:gs>
                </a:gsLst>
                <a:lin ang="5400000" scaled="0"/>
                <a:tileRect/>
              </a:gradFill>
              <a:ln>
                <a:noFill/>
              </a:ln>
              <a:effectLst/>
            </c:spPr>
            <c:extLst>
              <c:ext xmlns:c16="http://schemas.microsoft.com/office/drawing/2014/chart" uri="{C3380CC4-5D6E-409C-BE32-E72D297353CC}">
                <c16:uniqueId val="{00000005-2C71-46F8-9C2D-0E947C872800}"/>
              </c:ext>
            </c:extLst>
          </c:dPt>
          <c:dPt>
            <c:idx val="3"/>
            <c:bubble3D val="0"/>
            <c:spPr>
              <a:gradFill>
                <a:gsLst>
                  <a:gs pos="0">
                    <a:schemeClr val="accent4">
                      <a:lumMod val="102000"/>
                      <a:tint val="94000"/>
                    </a:schemeClr>
                  </a:gs>
                  <a:gs pos="50000">
                    <a:schemeClr val="accent4">
                      <a:lumMod val="100000"/>
                      <a:shade val="100000"/>
                    </a:schemeClr>
                  </a:gs>
                  <a:gs pos="100000">
                    <a:schemeClr val="accent4">
                      <a:lumMod val="99000"/>
                      <a:shade val="78000"/>
                    </a:schemeClr>
                  </a:gs>
                </a:gsLst>
                <a:lin ang="5400000" scaled="0"/>
                <a:tileRect/>
              </a:gradFill>
              <a:ln>
                <a:noFill/>
              </a:ln>
              <a:effectLst/>
            </c:spPr>
            <c:extLst>
              <c:ext xmlns:c16="http://schemas.microsoft.com/office/drawing/2014/chart" uri="{C3380CC4-5D6E-409C-BE32-E72D297353CC}">
                <c16:uniqueId val="{00000007-2C71-46F8-9C2D-0E947C872800}"/>
              </c:ext>
            </c:extLst>
          </c:dPt>
          <c:dPt>
            <c:idx val="4"/>
            <c:bubble3D val="0"/>
            <c:spPr>
              <a:gradFill>
                <a:gsLst>
                  <a:gs pos="0">
                    <a:schemeClr val="accent5">
                      <a:lumMod val="102000"/>
                      <a:tint val="94000"/>
                    </a:schemeClr>
                  </a:gs>
                  <a:gs pos="50000">
                    <a:schemeClr val="accent5">
                      <a:lumMod val="100000"/>
                      <a:shade val="100000"/>
                    </a:schemeClr>
                  </a:gs>
                  <a:gs pos="100000">
                    <a:schemeClr val="accent5">
                      <a:lumMod val="99000"/>
                      <a:shade val="78000"/>
                    </a:schemeClr>
                  </a:gs>
                </a:gsLst>
                <a:lin ang="5400000" scaled="0"/>
                <a:tileRect/>
              </a:gradFill>
              <a:ln>
                <a:noFill/>
              </a:ln>
              <a:effectLst/>
            </c:spPr>
            <c:extLst>
              <c:ext xmlns:c16="http://schemas.microsoft.com/office/drawing/2014/chart" uri="{C3380CC4-5D6E-409C-BE32-E72D297353CC}">
                <c16:uniqueId val="{00000009-2C71-46F8-9C2D-0E947C8728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Analysis!$A$9:$A$13</c:f>
              <c:strCache>
                <c:ptCount val="5"/>
                <c:pt idx="0">
                  <c:v>18 to 24</c:v>
                </c:pt>
                <c:pt idx="1">
                  <c:v>25 to 34</c:v>
                </c:pt>
                <c:pt idx="2">
                  <c:v>35 to 44</c:v>
                </c:pt>
                <c:pt idx="3">
                  <c:v>45 to 64</c:v>
                </c:pt>
                <c:pt idx="4">
                  <c:v>65+</c:v>
                </c:pt>
              </c:strCache>
            </c:strRef>
          </c:cat>
          <c:val>
            <c:numRef>
              <c:f>Analysis!$I$9:$I$13</c:f>
              <c:numCache>
                <c:formatCode>0.0%</c:formatCode>
                <c:ptCount val="5"/>
                <c:pt idx="0">
                  <c:v>8.5376677297069617E-2</c:v>
                </c:pt>
                <c:pt idx="1">
                  <c:v>0.1427432456826524</c:v>
                </c:pt>
                <c:pt idx="2">
                  <c:v>0.15768848907876526</c:v>
                </c:pt>
                <c:pt idx="3">
                  <c:v>0.39121637884349236</c:v>
                </c:pt>
                <c:pt idx="4">
                  <c:v>0.22297520909802035</c:v>
                </c:pt>
              </c:numCache>
            </c:numRef>
          </c:val>
          <c:extLst>
            <c:ext xmlns:c16="http://schemas.microsoft.com/office/drawing/2014/chart" uri="{C3380CC4-5D6E-409C-BE32-E72D297353CC}">
              <c16:uniqueId val="{0000000A-2C71-46F8-9C2D-0E947C87280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[US_Voters_2012_Dashboard (2).xlsx]Analysis!PivotTable9</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kern="1200" cap="none" baseline="0">
                <a:solidFill>
                  <a:sysClr val="window" lastClr="FFFFFF">
                    <a:lumMod val="85000"/>
                  </a:sysClr>
                </a:solidFill>
              </a:rPr>
              <a:t>Registration, Turnout &amp; Penetration by Age </a:t>
            </a:r>
          </a:p>
          <a:p>
            <a:pPr>
              <a:defRPr/>
            </a:pPr>
            <a:r>
              <a:rPr lang="en-US" sz="1400" b="1" i="0" u="none" strike="noStrike" kern="1200" cap="none" baseline="0">
                <a:solidFill>
                  <a:sysClr val="window" lastClr="FFFFFF">
                    <a:lumMod val="85000"/>
                  </a:sysClr>
                </a:solidFill>
              </a:rPr>
              <a:t>(Q1, Q4)</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Analysis!$S$31</c:f>
              <c:strCache>
                <c:ptCount val="1"/>
                <c:pt idx="0">
                  <c:v>Sum of Registration Rate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Analysis!$R$32:$R$38</c:f>
              <c:strCache>
                <c:ptCount val="6"/>
                <c:pt idx="0">
                  <c:v>18 to 24</c:v>
                </c:pt>
                <c:pt idx="1">
                  <c:v>25 to 34</c:v>
                </c:pt>
                <c:pt idx="2">
                  <c:v>35 to 44</c:v>
                </c:pt>
                <c:pt idx="3">
                  <c:v>45 to 64</c:v>
                </c:pt>
                <c:pt idx="4">
                  <c:v>65+</c:v>
                </c:pt>
                <c:pt idx="5">
                  <c:v>Total</c:v>
                </c:pt>
              </c:strCache>
            </c:strRef>
          </c:cat>
          <c:val>
            <c:numRef>
              <c:f>Analysis!$S$32:$S$38</c:f>
              <c:numCache>
                <c:formatCode>0.0%</c:formatCode>
                <c:ptCount val="6"/>
                <c:pt idx="0">
                  <c:v>0.5362603043178269</c:v>
                </c:pt>
                <c:pt idx="1">
                  <c:v>0.66065287252635729</c:v>
                </c:pt>
                <c:pt idx="2">
                  <c:v>0.71376875036479304</c:v>
                </c:pt>
                <c:pt idx="3">
                  <c:v>0.75412638144074318</c:v>
                </c:pt>
                <c:pt idx="4">
                  <c:v>0.79420409551339666</c:v>
                </c:pt>
                <c:pt idx="5">
                  <c:v>0.71205802357207615</c:v>
                </c:pt>
              </c:numCache>
            </c:numRef>
          </c:val>
          <c:extLst>
            <c:ext xmlns:c16="http://schemas.microsoft.com/office/drawing/2014/chart" uri="{C3380CC4-5D6E-409C-BE32-E72D297353CC}">
              <c16:uniqueId val="{00000000-97CD-4CF7-8A5A-0FE5E9272C8E}"/>
            </c:ext>
          </c:extLst>
        </c:ser>
        <c:ser>
          <c:idx val="1"/>
          <c:order val="1"/>
          <c:tx>
            <c:strRef>
              <c:f>Analysis!$T$31</c:f>
              <c:strCache>
                <c:ptCount val="1"/>
                <c:pt idx="0">
                  <c:v>Sum of Turnout Rate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Analysis!$R$32:$R$38</c:f>
              <c:strCache>
                <c:ptCount val="6"/>
                <c:pt idx="0">
                  <c:v>18 to 24</c:v>
                </c:pt>
                <c:pt idx="1">
                  <c:v>25 to 34</c:v>
                </c:pt>
                <c:pt idx="2">
                  <c:v>35 to 44</c:v>
                </c:pt>
                <c:pt idx="3">
                  <c:v>45 to 64</c:v>
                </c:pt>
                <c:pt idx="4">
                  <c:v>65+</c:v>
                </c:pt>
                <c:pt idx="5">
                  <c:v>Total</c:v>
                </c:pt>
              </c:strCache>
            </c:strRef>
          </c:cat>
          <c:val>
            <c:numRef>
              <c:f>Analysis!$T$32:$T$38</c:f>
              <c:numCache>
                <c:formatCode>0.0%</c:formatCode>
                <c:ptCount val="6"/>
                <c:pt idx="0">
                  <c:v>0.7686733933771247</c:v>
                </c:pt>
                <c:pt idx="1">
                  <c:v>0.80977982590885822</c:v>
                </c:pt>
                <c:pt idx="2">
                  <c:v>0.85718374356038929</c:v>
                </c:pt>
                <c:pt idx="3">
                  <c:v>0.89992560167482738</c:v>
                </c:pt>
                <c:pt idx="4">
                  <c:v>0.90671356476525466</c:v>
                </c:pt>
                <c:pt idx="5">
                  <c:v>0.8680992210403975</c:v>
                </c:pt>
              </c:numCache>
            </c:numRef>
          </c:val>
          <c:extLst>
            <c:ext xmlns:c16="http://schemas.microsoft.com/office/drawing/2014/chart" uri="{C3380CC4-5D6E-409C-BE32-E72D297353CC}">
              <c16:uniqueId val="{00000001-97CD-4CF7-8A5A-0FE5E9272C8E}"/>
            </c:ext>
          </c:extLst>
        </c:ser>
        <c:ser>
          <c:idx val="2"/>
          <c:order val="2"/>
          <c:tx>
            <c:strRef>
              <c:f>Analysis!$U$31</c:f>
              <c:strCache>
                <c:ptCount val="1"/>
                <c:pt idx="0">
                  <c:v>Sum of Voter Penetration</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Analysis!$R$32:$R$38</c:f>
              <c:strCache>
                <c:ptCount val="6"/>
                <c:pt idx="0">
                  <c:v>18 to 24</c:v>
                </c:pt>
                <c:pt idx="1">
                  <c:v>25 to 34</c:v>
                </c:pt>
                <c:pt idx="2">
                  <c:v>35 to 44</c:v>
                </c:pt>
                <c:pt idx="3">
                  <c:v>45 to 64</c:v>
                </c:pt>
                <c:pt idx="4">
                  <c:v>65+</c:v>
                </c:pt>
                <c:pt idx="5">
                  <c:v>Total</c:v>
                </c:pt>
              </c:strCache>
            </c:strRef>
          </c:cat>
          <c:val>
            <c:numRef>
              <c:f>Analysis!$U$32:$U$38</c:f>
              <c:numCache>
                <c:formatCode>0.0%</c:formatCode>
                <c:ptCount val="6"/>
                <c:pt idx="0">
                  <c:v>0.37987349820956462</c:v>
                </c:pt>
                <c:pt idx="1">
                  <c:v>0.46124681006197593</c:v>
                </c:pt>
                <c:pt idx="2">
                  <c:v>0.52909852614577024</c:v>
                </c:pt>
                <c:pt idx="3">
                  <c:v>0.63364804775537553</c:v>
                </c:pt>
                <c:pt idx="4">
                  <c:v>0.69729971303570593</c:v>
                </c:pt>
                <c:pt idx="5">
                  <c:v>0.56515436835013111</c:v>
                </c:pt>
              </c:numCache>
            </c:numRef>
          </c:val>
          <c:extLst>
            <c:ext xmlns:c16="http://schemas.microsoft.com/office/drawing/2014/chart" uri="{C3380CC4-5D6E-409C-BE32-E72D297353CC}">
              <c16:uniqueId val="{00000002-97CD-4CF7-8A5A-0FE5E9272C8E}"/>
            </c:ext>
          </c:extLst>
        </c:ser>
        <c:dLbls>
          <c:showLegendKey val="0"/>
          <c:showVal val="0"/>
          <c:showCatName val="0"/>
          <c:showSerName val="0"/>
          <c:showPercent val="0"/>
          <c:showBubbleSize val="0"/>
        </c:dLbls>
        <c:gapWidth val="315"/>
        <c:overlap val="-40"/>
        <c:axId val="201275871"/>
        <c:axId val="1471243087"/>
      </c:barChart>
      <c:catAx>
        <c:axId val="2012758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1243087"/>
        <c:crosses val="autoZero"/>
        <c:auto val="1"/>
        <c:lblAlgn val="ctr"/>
        <c:lblOffset val="100"/>
        <c:noMultiLvlLbl val="0"/>
      </c:catAx>
      <c:valAx>
        <c:axId val="14712430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127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113489</xdr:colOff>
      <xdr:row>0</xdr:row>
      <xdr:rowOff>97278</xdr:rowOff>
    </xdr:from>
    <xdr:to>
      <xdr:col>0</xdr:col>
      <xdr:colOff>1994170</xdr:colOff>
      <xdr:row>55</xdr:row>
      <xdr:rowOff>64852</xdr:rowOff>
    </xdr:to>
    <xdr:sp macro="" textlink="">
      <xdr:nvSpPr>
        <xdr:cNvPr id="18" name="Rectangle 17">
          <a:extLst>
            <a:ext uri="{FF2B5EF4-FFF2-40B4-BE49-F238E27FC236}">
              <a16:creationId xmlns:a16="http://schemas.microsoft.com/office/drawing/2014/main" id="{2905081F-1214-144F-BDA6-F5D6E259F06B}"/>
            </a:ext>
          </a:extLst>
        </xdr:cNvPr>
        <xdr:cNvSpPr/>
      </xdr:nvSpPr>
      <xdr:spPr>
        <a:xfrm>
          <a:off x="113489" y="97278"/>
          <a:ext cx="1880681" cy="9824936"/>
        </a:xfrm>
        <a:prstGeom prst="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0</xdr:colOff>
      <xdr:row>24</xdr:row>
      <xdr:rowOff>157663</xdr:rowOff>
    </xdr:from>
    <xdr:to>
      <xdr:col>24</xdr:col>
      <xdr:colOff>424080</xdr:colOff>
      <xdr:row>38</xdr:row>
      <xdr:rowOff>152953</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8</xdr:row>
      <xdr:rowOff>166414</xdr:rowOff>
    </xdr:from>
    <xdr:to>
      <xdr:col>16</xdr:col>
      <xdr:colOff>424079</xdr:colOff>
      <xdr:row>22</xdr:row>
      <xdr:rowOff>162062</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0</xdr:colOff>
      <xdr:row>8</xdr:row>
      <xdr:rowOff>157655</xdr:rowOff>
    </xdr:from>
    <xdr:to>
      <xdr:col>24</xdr:col>
      <xdr:colOff>424080</xdr:colOff>
      <xdr:row>22</xdr:row>
      <xdr:rowOff>153303</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2034292</xdr:colOff>
      <xdr:row>24</xdr:row>
      <xdr:rowOff>166424</xdr:rowOff>
    </xdr:from>
    <xdr:to>
      <xdr:col>8</xdr:col>
      <xdr:colOff>393241</xdr:colOff>
      <xdr:row>38</xdr:row>
      <xdr:rowOff>162073</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43798</xdr:colOff>
      <xdr:row>41</xdr:row>
      <xdr:rowOff>26275</xdr:rowOff>
    </xdr:from>
    <xdr:to>
      <xdr:col>16</xdr:col>
      <xdr:colOff>467877</xdr:colOff>
      <xdr:row>55</xdr:row>
      <xdr:rowOff>21924</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2058664</xdr:colOff>
      <xdr:row>41</xdr:row>
      <xdr:rowOff>17529</xdr:rowOff>
    </xdr:from>
    <xdr:to>
      <xdr:col>8</xdr:col>
      <xdr:colOff>417613</xdr:colOff>
      <xdr:row>55</xdr:row>
      <xdr:rowOff>13178</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504939</xdr:colOff>
      <xdr:row>24</xdr:row>
      <xdr:rowOff>156071</xdr:rowOff>
    </xdr:from>
    <xdr:to>
      <xdr:col>16</xdr:col>
      <xdr:colOff>431494</xdr:colOff>
      <xdr:row>39</xdr:row>
      <xdr:rowOff>0</xdr:rowOff>
    </xdr:to>
    <xdr:graphicFrame macro="">
      <xdr:nvGraphicFramePr>
        <xdr:cNvPr id="13" name="Chart 12">
          <a:extLst>
            <a:ext uri="{FF2B5EF4-FFF2-40B4-BE49-F238E27FC236}">
              <a16:creationId xmlns:a16="http://schemas.microsoft.com/office/drawing/2014/main" id="{BA717E10-0D52-4664-BF42-C778672AC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0</xdr:colOff>
      <xdr:row>8</xdr:row>
      <xdr:rowOff>110435</xdr:rowOff>
    </xdr:from>
    <xdr:to>
      <xdr:col>8</xdr:col>
      <xdr:colOff>408608</xdr:colOff>
      <xdr:row>22</xdr:row>
      <xdr:rowOff>176696</xdr:rowOff>
    </xdr:to>
    <xdr:graphicFrame macro="">
      <xdr:nvGraphicFramePr>
        <xdr:cNvPr id="17" name="Chart 16">
          <a:extLst>
            <a:ext uri="{FF2B5EF4-FFF2-40B4-BE49-F238E27FC236}">
              <a16:creationId xmlns:a16="http://schemas.microsoft.com/office/drawing/2014/main" id="{F2C0079C-537A-43CC-B315-094E4A7F2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163976</xdr:colOff>
      <xdr:row>8</xdr:row>
      <xdr:rowOff>121479</xdr:rowOff>
    </xdr:from>
    <xdr:to>
      <xdr:col>0</xdr:col>
      <xdr:colOff>1938760</xdr:colOff>
      <xdr:row>22</xdr:row>
      <xdr:rowOff>154608</xdr:rowOff>
    </xdr:to>
    <mc:AlternateContent xmlns:mc="http://schemas.openxmlformats.org/markup-compatibility/2006">
      <mc:Choice xmlns:a14="http://schemas.microsoft.com/office/drawing/2010/main" Requires="a14">
        <xdr:graphicFrame macro="">
          <xdr:nvGraphicFramePr>
            <xdr:cNvPr id="14" name="Age 2">
              <a:extLst>
                <a:ext uri="{FF2B5EF4-FFF2-40B4-BE49-F238E27FC236}">
                  <a16:creationId xmlns:a16="http://schemas.microsoft.com/office/drawing/2014/main" id="{07B63616-9703-4042-B8E0-73E2E7C9E52C}"/>
                </a:ext>
              </a:extLst>
            </xdr:cNvPr>
            <xdr:cNvGraphicFramePr/>
          </xdr:nvGraphicFramePr>
          <xdr:xfrm>
            <a:off x="0" y="0"/>
            <a:ext cx="0" cy="0"/>
          </xdr:xfrm>
          <a:graphic>
            <a:graphicData uri="http://schemas.microsoft.com/office/drawing/2010/slicer">
              <sle:slicer xmlns:sle="http://schemas.microsoft.com/office/drawing/2010/slicer" name="Age 2"/>
            </a:graphicData>
          </a:graphic>
        </xdr:graphicFrame>
      </mc:Choice>
      <mc:Fallback>
        <xdr:sp macro="" textlink="">
          <xdr:nvSpPr>
            <xdr:cNvPr id="0" name=""/>
            <xdr:cNvSpPr>
              <a:spLocks noTextEdit="1"/>
            </xdr:cNvSpPr>
          </xdr:nvSpPr>
          <xdr:spPr>
            <a:xfrm>
              <a:off x="163976" y="1635833"/>
              <a:ext cx="1774784" cy="2598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8.578362499997" createdVersion="8" refreshedVersion="8" minRefreshableVersion="3" recordCount="6" xr:uid="{CD6E4C11-8EDD-4C4D-B075-03528246C1E0}">
  <cacheSource type="worksheet">
    <worksheetSource ref="A8:I14" sheet="Analysis"/>
  </cacheSource>
  <cacheFields count="9">
    <cacheField name="Age" numFmtId="0">
      <sharedItems count="6">
        <s v="18 to 24"/>
        <s v="25 to 34"/>
        <s v="35 to 44"/>
        <s v="45 to 64"/>
        <s v="65+"/>
        <s v="Total"/>
      </sharedItems>
    </cacheField>
    <cacheField name="Total Pop." numFmtId="3">
      <sharedItems containsSemiMixedTypes="0" containsString="0" containsNumber="1" containsInteger="1" minValue="29881000" maxValue="235249000"/>
    </cacheField>
    <cacheField name="Citizens" numFmtId="3">
      <sharedItems containsSemiMixedTypes="0" containsString="0" containsNumber="1" containsInteger="1" minValue="27537000" maxValue="215085000"/>
    </cacheField>
    <cacheField name="Registered" numFmtId="3">
      <sharedItems containsSemiMixedTypes="0" containsString="0" containsNumber="1" containsInteger="1" minValue="14767000" maxValue="153153000"/>
    </cacheField>
    <cacheField name="Confirmed" numFmtId="3">
      <sharedItems containsSemiMixedTypes="0" containsString="0" containsNumber="1" containsInteger="1" minValue="11351000" maxValue="132952000"/>
    </cacheField>
    <cacheField name="Registration Rate" numFmtId="165">
      <sharedItems containsSemiMixedTypes="0" containsString="0" containsNumber="1" minValue="0.5362603043178269" maxValue="0.79420409551339666"/>
    </cacheField>
    <cacheField name="Turnout Rate" numFmtId="165">
      <sharedItems containsSemiMixedTypes="0" containsString="0" containsNumber="1" minValue="0.7686733933771247" maxValue="0.90671356476525466"/>
    </cacheField>
    <cacheField name="Voter Penetration" numFmtId="165">
      <sharedItems containsSemiMixedTypes="0" containsString="0" containsNumber="1" minValue="0.37987349820956462" maxValue="0.69729971303570593"/>
    </cacheField>
    <cacheField name="Share of Confirmed" numFmtId="165">
      <sharedItems containsSemiMixedTypes="0" containsString="0" containsNumber="1" minValue="8.5376677297069617E-2" maxValue="1"/>
    </cacheField>
  </cacheFields>
  <extLst>
    <ext xmlns:x14="http://schemas.microsoft.com/office/spreadsheetml/2009/9/main" uri="{725AE2AE-9491-48be-B2B4-4EB974FC3084}">
      <x14:pivotCacheDefinition pivotCacheId="4181211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29881000"/>
    <n v="27537000"/>
    <n v="14767000"/>
    <n v="11351000"/>
    <n v="0.5362603043178269"/>
    <n v="0.7686733933771247"/>
    <n v="0.37987349820956462"/>
    <n v="8.5376677297069617E-2"/>
  </r>
  <r>
    <x v="1"/>
    <n v="41145000"/>
    <n v="35474000"/>
    <n v="23436000"/>
    <n v="18978000"/>
    <n v="0.66065287252635729"/>
    <n v="0.80977982590885822"/>
    <n v="0.46124681006197593"/>
    <n v="0.1427432456826524"/>
  </r>
  <r>
    <x v="2"/>
    <n v="39624000"/>
    <n v="34266000"/>
    <n v="24458000"/>
    <n v="20965000"/>
    <n v="0.71376875036479304"/>
    <n v="0.85718374356038929"/>
    <n v="0.52909852614577024"/>
    <n v="0.15768848907876526"/>
  </r>
  <r>
    <x v="3"/>
    <n v="82085000"/>
    <n v="76641000"/>
    <n v="57797000"/>
    <n v="52013000"/>
    <n v="0.75412638144074318"/>
    <n v="0.89992560167482738"/>
    <n v="0.63364804775537553"/>
    <n v="0.39121637884349236"/>
  </r>
  <r>
    <x v="4"/>
    <n v="42514000"/>
    <n v="41167000"/>
    <n v="32695000"/>
    <n v="29645000"/>
    <n v="0.79420409551339666"/>
    <n v="0.90671356476525466"/>
    <n v="0.69729971303570593"/>
    <n v="0.22297520909802035"/>
  </r>
  <r>
    <x v="5"/>
    <n v="235249000"/>
    <n v="215085000"/>
    <n v="153153000"/>
    <n v="132952000"/>
    <n v="0.71205802357207615"/>
    <n v="0.8680992210403975"/>
    <n v="0.5651543683501311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88EAE4-56BD-4225-BD7C-96B20D6C87E5}" name="PivotTable9"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R31:U38" firstHeaderRow="0" firstDataRow="1" firstDataCol="1"/>
  <pivotFields count="9">
    <pivotField axis="axisRow" showAll="0">
      <items count="7">
        <item x="0"/>
        <item x="1"/>
        <item x="2"/>
        <item x="3"/>
        <item x="4"/>
        <item x="5"/>
        <item t="default"/>
      </items>
    </pivotField>
    <pivotField numFmtId="3" showAll="0"/>
    <pivotField numFmtId="3" showAll="0"/>
    <pivotField numFmtId="3" showAll="0"/>
    <pivotField numFmtId="3" showAll="0"/>
    <pivotField dataField="1" numFmtId="165" showAll="0"/>
    <pivotField dataField="1" numFmtId="165" showAll="0"/>
    <pivotField dataField="1" numFmtId="165" showAll="0"/>
    <pivotField numFmtId="165" showAll="0"/>
  </pivotFields>
  <rowFields count="1">
    <field x="0"/>
  </rowFields>
  <rowItems count="7">
    <i>
      <x/>
    </i>
    <i>
      <x v="1"/>
    </i>
    <i>
      <x v="2"/>
    </i>
    <i>
      <x v="3"/>
    </i>
    <i>
      <x v="4"/>
    </i>
    <i>
      <x v="5"/>
    </i>
    <i t="grand">
      <x/>
    </i>
  </rowItems>
  <colFields count="1">
    <field x="-2"/>
  </colFields>
  <colItems count="3">
    <i>
      <x/>
    </i>
    <i i="1">
      <x v="1"/>
    </i>
    <i i="2">
      <x v="2"/>
    </i>
  </colItems>
  <dataFields count="3">
    <dataField name="Sum of Registration Rate" fld="5" baseField="0" baseItem="0" numFmtId="165"/>
    <dataField name="Sum of Turnout Rate" fld="6" baseField="0" baseItem="0" numFmtId="165"/>
    <dataField name="Sum of Voter Penetration" fld="7" baseField="0" baseItem="0" numFmtId="165"/>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7" format="9"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1"/>
          </reference>
        </references>
      </pivotArea>
    </chartFormat>
    <chartFormat chart="7" format="11" series="1">
      <pivotArea type="data" outline="0" fieldPosition="0">
        <references count="1">
          <reference field="4294967294" count="1" selected="0">
            <x v="2"/>
          </reference>
        </references>
      </pivotArea>
    </chartFormat>
    <chartFormat chart="9" format="12"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1"/>
          </reference>
        </references>
      </pivotArea>
    </chartFormat>
    <chartFormat chart="9"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1" xr10:uid="{7C3BD596-64B0-4C74-9D52-55861209DF47}" sourceName="Age">
  <pivotTables>
    <pivotTable tabId="2" name="PivotTable9"/>
  </pivotTables>
  <data>
    <tabular pivotCacheId="418121195">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2" xr10:uid="{DCCFE94C-433E-416C-A777-24EDA6290C82}" cache="Slicer_Age1" caption="Age"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otersQuestions" displayName="VotersQuestions" ref="A4:C12" totalsRowShown="0">
  <autoFilter ref="A4:C12" xr:uid="{00000000-0009-0000-0100-000001000000}"/>
  <tableColumns count="3">
    <tableColumn id="1" xr3:uid="{00000000-0010-0000-0000-000001000000}" name="#"/>
    <tableColumn id="2" xr3:uid="{00000000-0010-0000-0000-000002000000}" name="Problem Statement"/>
    <tableColumn id="3" xr3:uid="{00000000-0010-0000-0000-000003000000}" name="Suggested Dashboard Approach"/>
  </tableColumns>
  <tableStyleInfo showFirstColumn="0" showLastColumn="0" showRowStripes="1" showColumnStripes="0"/>
</table>
</file>

<file path=xl/theme/theme1.xml><?xml version="1.0" encoding="utf-8"?>
<a:theme xmlns:a="http://schemas.openxmlformats.org/drawingml/2006/main" name="Sheets">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1"/>
  <sheetViews>
    <sheetView showGridLines="0" tabSelected="1" topLeftCell="A7" zoomScale="79" zoomScaleNormal="55" workbookViewId="0">
      <selection activeCell="AE24" sqref="AE24"/>
    </sheetView>
  </sheetViews>
  <sheetFormatPr defaultColWidth="8.6640625" defaultRowHeight="14.4" x14ac:dyDescent="0.3"/>
  <cols>
    <col min="1" max="1" width="30.109375" customWidth="1"/>
    <col min="2" max="25" width="7.5546875" customWidth="1"/>
    <col min="26" max="26" width="2" customWidth="1"/>
  </cols>
  <sheetData>
    <row r="1" spans="1:26" x14ac:dyDescent="0.3">
      <c r="A1" s="1"/>
      <c r="B1" s="1"/>
      <c r="C1" s="1"/>
      <c r="D1" s="1"/>
      <c r="E1" s="1"/>
      <c r="F1" s="1"/>
      <c r="G1" s="1"/>
      <c r="H1" s="1"/>
      <c r="I1" s="1"/>
      <c r="J1" s="1"/>
      <c r="K1" s="1"/>
      <c r="L1" s="1"/>
      <c r="M1" s="1"/>
      <c r="N1" s="1"/>
      <c r="O1" s="1"/>
      <c r="P1" s="1"/>
      <c r="Q1" s="1"/>
      <c r="R1" s="1"/>
      <c r="S1" s="1"/>
      <c r="T1" s="1"/>
      <c r="U1" s="1"/>
      <c r="V1" s="1"/>
      <c r="W1" s="1"/>
      <c r="X1" s="1"/>
      <c r="Y1" s="1"/>
      <c r="Z1" s="1"/>
    </row>
    <row r="2" spans="1:26" x14ac:dyDescent="0.3">
      <c r="A2" s="1"/>
      <c r="B2" s="39" t="s">
        <v>0</v>
      </c>
      <c r="C2" s="39"/>
      <c r="D2" s="39"/>
      <c r="E2" s="39"/>
      <c r="F2" s="39"/>
      <c r="G2" s="39"/>
      <c r="H2" s="39"/>
      <c r="I2" s="39"/>
      <c r="J2" s="39"/>
      <c r="K2" s="39"/>
      <c r="L2" s="39"/>
      <c r="M2" s="39"/>
      <c r="N2" s="39"/>
      <c r="O2" s="39"/>
      <c r="P2" s="39"/>
      <c r="Q2" s="39"/>
      <c r="R2" s="39"/>
      <c r="S2" s="39"/>
      <c r="T2" s="39"/>
      <c r="U2" s="39"/>
      <c r="V2" s="39"/>
      <c r="W2" s="39"/>
      <c r="X2" s="39"/>
      <c r="Y2" s="39"/>
      <c r="Z2" s="1"/>
    </row>
    <row r="3" spans="1:26" x14ac:dyDescent="0.3">
      <c r="A3" s="1"/>
      <c r="B3" s="39"/>
      <c r="C3" s="39"/>
      <c r="D3" s="39"/>
      <c r="E3" s="39"/>
      <c r="F3" s="39"/>
      <c r="G3" s="39"/>
      <c r="H3" s="39"/>
      <c r="I3" s="39"/>
      <c r="J3" s="39"/>
      <c r="K3" s="39"/>
      <c r="L3" s="39"/>
      <c r="M3" s="39"/>
      <c r="N3" s="39"/>
      <c r="O3" s="39"/>
      <c r="P3" s="39"/>
      <c r="Q3" s="39"/>
      <c r="R3" s="39"/>
      <c r="S3" s="39"/>
      <c r="T3" s="39"/>
      <c r="U3" s="39"/>
      <c r="V3" s="39"/>
      <c r="W3" s="39"/>
      <c r="X3" s="39"/>
      <c r="Y3" s="39"/>
      <c r="Z3" s="1"/>
    </row>
    <row r="4" spans="1:26" x14ac:dyDescent="0.3">
      <c r="A4" s="1"/>
      <c r="B4" s="24" t="s">
        <v>1</v>
      </c>
      <c r="C4" s="24"/>
      <c r="D4" s="24"/>
      <c r="E4" s="24"/>
      <c r="F4" s="24"/>
      <c r="G4" s="24"/>
      <c r="H4" s="24"/>
      <c r="I4" s="24"/>
      <c r="J4" s="24"/>
      <c r="K4" s="24"/>
      <c r="L4" s="24"/>
      <c r="M4" s="24"/>
      <c r="N4" s="24"/>
      <c r="O4" s="24"/>
      <c r="P4" s="24"/>
      <c r="Q4" s="24"/>
      <c r="R4" s="24"/>
      <c r="S4" s="24"/>
      <c r="T4" s="24"/>
      <c r="U4" s="24"/>
      <c r="V4" s="24"/>
      <c r="W4" s="24"/>
      <c r="X4" s="24"/>
      <c r="Y4" s="24"/>
      <c r="Z4" s="1"/>
    </row>
    <row r="5" spans="1:26" x14ac:dyDescent="0.3">
      <c r="A5" s="1"/>
      <c r="B5" s="1"/>
      <c r="C5" s="1"/>
      <c r="D5" s="1"/>
      <c r="E5" s="1"/>
      <c r="F5" s="1"/>
      <c r="G5" s="1"/>
      <c r="H5" s="1"/>
      <c r="I5" s="1"/>
      <c r="J5" s="1"/>
      <c r="K5" s="1"/>
      <c r="L5" s="1"/>
      <c r="M5" s="1"/>
      <c r="N5" s="1"/>
      <c r="O5" s="1"/>
      <c r="P5" s="1"/>
      <c r="Q5" s="1"/>
      <c r="R5" s="1"/>
      <c r="S5" s="1"/>
      <c r="T5" s="1"/>
      <c r="U5" s="1"/>
      <c r="V5" s="1"/>
      <c r="W5" s="1"/>
      <c r="X5" s="1"/>
      <c r="Y5" s="1"/>
      <c r="Z5" s="1"/>
    </row>
    <row r="6" spans="1:26" ht="18" customHeight="1" x14ac:dyDescent="0.3">
      <c r="A6" s="1"/>
      <c r="B6" s="28" t="s">
        <v>2</v>
      </c>
      <c r="C6" s="28"/>
      <c r="D6" s="28"/>
      <c r="E6" s="28"/>
      <c r="F6" s="29" t="s">
        <v>3</v>
      </c>
      <c r="G6" s="29"/>
      <c r="H6" s="29"/>
      <c r="I6" s="29"/>
      <c r="J6" s="31" t="s">
        <v>4</v>
      </c>
      <c r="K6" s="31"/>
      <c r="L6" s="31"/>
      <c r="M6" s="31"/>
      <c r="N6" s="33" t="s">
        <v>5</v>
      </c>
      <c r="O6" s="33"/>
      <c r="P6" s="33"/>
      <c r="Q6" s="33"/>
      <c r="R6" s="35" t="s">
        <v>6</v>
      </c>
      <c r="S6" s="35"/>
      <c r="T6" s="35"/>
      <c r="U6" s="35"/>
      <c r="V6" s="37" t="s">
        <v>7</v>
      </c>
      <c r="W6" s="37"/>
      <c r="X6" s="37"/>
      <c r="Y6" s="37"/>
      <c r="Z6" s="1"/>
    </row>
    <row r="7" spans="1:26" x14ac:dyDescent="0.3">
      <c r="A7" s="1"/>
      <c r="B7" s="40">
        <f>Analysis!B5</f>
        <v>215085000</v>
      </c>
      <c r="C7" s="40"/>
      <c r="D7" s="40"/>
      <c r="E7" s="40"/>
      <c r="F7" s="30">
        <f>Analysis!C5</f>
        <v>153153000</v>
      </c>
      <c r="G7" s="30"/>
      <c r="H7" s="30"/>
      <c r="I7" s="30"/>
      <c r="J7" s="32">
        <f>Analysis!D5</f>
        <v>132952000</v>
      </c>
      <c r="K7" s="32"/>
      <c r="L7" s="32"/>
      <c r="M7" s="32"/>
      <c r="N7" s="34">
        <f>Analysis!E5</f>
        <v>0.71205802357207615</v>
      </c>
      <c r="O7" s="34"/>
      <c r="P7" s="34"/>
      <c r="Q7" s="34"/>
      <c r="R7" s="36">
        <f>Analysis!F5</f>
        <v>0.8680992210403975</v>
      </c>
      <c r="S7" s="36"/>
      <c r="T7" s="36"/>
      <c r="U7" s="36"/>
      <c r="V7" s="38">
        <f>Analysis!G5</f>
        <v>0.56515436835013111</v>
      </c>
      <c r="W7" s="38"/>
      <c r="X7" s="38"/>
      <c r="Y7" s="38"/>
      <c r="Z7" s="1"/>
    </row>
    <row r="8" spans="1:26" x14ac:dyDescent="0.3">
      <c r="A8" s="1"/>
      <c r="B8" s="40"/>
      <c r="C8" s="40"/>
      <c r="D8" s="40"/>
      <c r="E8" s="40"/>
      <c r="F8" s="30"/>
      <c r="G8" s="30"/>
      <c r="H8" s="30"/>
      <c r="I8" s="30"/>
      <c r="J8" s="32"/>
      <c r="K8" s="32"/>
      <c r="L8" s="32"/>
      <c r="M8" s="32"/>
      <c r="N8" s="34"/>
      <c r="O8" s="34"/>
      <c r="P8" s="34"/>
      <c r="Q8" s="34"/>
      <c r="R8" s="36"/>
      <c r="S8" s="36"/>
      <c r="T8" s="36"/>
      <c r="U8" s="36"/>
      <c r="V8" s="38"/>
      <c r="W8" s="38"/>
      <c r="X8" s="38"/>
      <c r="Y8" s="38"/>
      <c r="Z8" s="1"/>
    </row>
    <row r="9" spans="1:26" x14ac:dyDescent="0.3">
      <c r="A9" s="1"/>
      <c r="B9" s="1"/>
      <c r="C9" s="1"/>
      <c r="D9" s="1"/>
      <c r="E9" s="1"/>
      <c r="F9" s="1"/>
      <c r="G9" s="1"/>
      <c r="H9" s="1"/>
      <c r="I9" s="1"/>
      <c r="J9" s="1"/>
      <c r="K9" s="1"/>
      <c r="L9" s="1"/>
      <c r="M9" s="1"/>
      <c r="N9" s="1"/>
      <c r="O9" s="1"/>
      <c r="P9" s="1"/>
      <c r="Q9" s="1"/>
      <c r="R9" s="1"/>
      <c r="S9" s="1"/>
      <c r="T9" s="1"/>
      <c r="U9" s="1"/>
      <c r="V9" s="1"/>
      <c r="W9" s="1"/>
      <c r="X9" s="1"/>
      <c r="Y9" s="1"/>
      <c r="Z9" s="1"/>
    </row>
    <row r="10" spans="1:26" x14ac:dyDescent="0.3">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3">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x14ac:dyDescent="0.3">
      <c r="A42" s="1"/>
      <c r="B42" s="1"/>
      <c r="C42" s="1"/>
      <c r="D42" s="1"/>
      <c r="E42" s="1"/>
      <c r="F42" s="1"/>
      <c r="G42" s="1"/>
      <c r="H42" s="1"/>
      <c r="I42" s="1"/>
      <c r="J42" s="1"/>
      <c r="K42" s="1"/>
      <c r="L42" s="1"/>
      <c r="M42" s="1"/>
      <c r="N42" s="1"/>
      <c r="O42" s="1"/>
      <c r="P42" s="1"/>
      <c r="Q42" s="1"/>
      <c r="R42" s="23" t="s">
        <v>8</v>
      </c>
      <c r="S42" s="23"/>
      <c r="T42" s="23"/>
      <c r="U42" s="23"/>
      <c r="V42" s="23"/>
      <c r="W42" s="23"/>
      <c r="X42" s="23"/>
      <c r="Y42" s="23"/>
      <c r="Z42" s="1"/>
    </row>
    <row r="43" spans="1:26" x14ac:dyDescent="0.3">
      <c r="A43" s="1"/>
      <c r="B43" s="1"/>
      <c r="C43" s="1"/>
      <c r="D43" s="1"/>
      <c r="E43" s="1"/>
      <c r="F43" s="1"/>
      <c r="G43" s="1"/>
      <c r="H43" s="1"/>
      <c r="I43" s="1"/>
      <c r="J43" s="1"/>
      <c r="K43" s="1"/>
      <c r="L43" s="1"/>
      <c r="M43" s="1"/>
      <c r="N43" s="1"/>
      <c r="O43" s="1"/>
      <c r="P43" s="1"/>
      <c r="Q43" s="1"/>
      <c r="R43" s="27" t="str">
        <f>Analysis!A73</f>
        <v>Highest-turnout age group: 65+ at 90.7% vs 18 to 24 at 76.9%</v>
      </c>
      <c r="S43" s="27"/>
      <c r="T43" s="27"/>
      <c r="U43" s="27"/>
      <c r="V43" s="27"/>
      <c r="W43" s="27"/>
      <c r="X43" s="27"/>
      <c r="Y43" s="27"/>
      <c r="Z43" s="1"/>
    </row>
    <row r="44" spans="1:26" x14ac:dyDescent="0.3">
      <c r="A44" s="1"/>
      <c r="B44" s="1"/>
      <c r="C44" s="1"/>
      <c r="D44" s="1"/>
      <c r="E44" s="1"/>
      <c r="F44" s="1"/>
      <c r="G44" s="1"/>
      <c r="H44" s="1"/>
      <c r="I44" s="1"/>
      <c r="J44" s="1"/>
      <c r="K44" s="1"/>
      <c r="L44" s="1"/>
      <c r="M44" s="1"/>
      <c r="N44" s="1"/>
      <c r="O44" s="1"/>
      <c r="P44" s="1"/>
      <c r="Q44" s="1"/>
      <c r="R44" s="27"/>
      <c r="S44" s="27"/>
      <c r="T44" s="27"/>
      <c r="U44" s="27"/>
      <c r="V44" s="27"/>
      <c r="W44" s="27"/>
      <c r="X44" s="27"/>
      <c r="Y44" s="27"/>
      <c r="Z44" s="1"/>
    </row>
    <row r="45" spans="1:26" x14ac:dyDescent="0.3">
      <c r="A45" s="1"/>
      <c r="B45" s="1"/>
      <c r="C45" s="1"/>
      <c r="D45" s="1"/>
      <c r="E45" s="1"/>
      <c r="F45" s="1"/>
      <c r="G45" s="1"/>
      <c r="H45" s="1"/>
      <c r="I45" s="1"/>
      <c r="J45" s="1"/>
      <c r="K45" s="1"/>
      <c r="L45" s="1"/>
      <c r="M45" s="1"/>
      <c r="N45" s="1"/>
      <c r="O45" s="1"/>
      <c r="P45" s="1"/>
      <c r="Q45" s="1"/>
      <c r="R45" s="27"/>
      <c r="S45" s="27"/>
      <c r="T45" s="27"/>
      <c r="U45" s="27"/>
      <c r="V45" s="27"/>
      <c r="W45" s="27"/>
      <c r="X45" s="27"/>
      <c r="Y45" s="27"/>
      <c r="Z45" s="1"/>
    </row>
    <row r="46" spans="1:26" x14ac:dyDescent="0.3">
      <c r="A46" s="1"/>
      <c r="B46" s="1"/>
      <c r="C46" s="1"/>
      <c r="D46" s="1"/>
      <c r="E46" s="1"/>
      <c r="F46" s="1"/>
      <c r="G46" s="1"/>
      <c r="H46" s="1"/>
      <c r="I46" s="1"/>
      <c r="J46" s="1"/>
      <c r="K46" s="1"/>
      <c r="L46" s="1"/>
      <c r="M46" s="1"/>
      <c r="N46" s="1"/>
      <c r="O46" s="1"/>
      <c r="P46" s="1"/>
      <c r="Q46" s="1"/>
      <c r="R46" s="27" t="str">
        <f>Analysis!A74</f>
        <v>Largest share of confirmed voters: 45 to 64 (39.1%)</v>
      </c>
      <c r="S46" s="27"/>
      <c r="T46" s="27"/>
      <c r="U46" s="27"/>
      <c r="V46" s="27"/>
      <c r="W46" s="27"/>
      <c r="X46" s="27"/>
      <c r="Y46" s="27"/>
      <c r="Z46" s="1"/>
    </row>
    <row r="47" spans="1:26" x14ac:dyDescent="0.3">
      <c r="A47" s="1"/>
      <c r="B47" s="1"/>
      <c r="C47" s="1"/>
      <c r="D47" s="1"/>
      <c r="E47" s="1"/>
      <c r="F47" s="1"/>
      <c r="G47" s="1"/>
      <c r="H47" s="1"/>
      <c r="I47" s="1"/>
      <c r="J47" s="1"/>
      <c r="K47" s="1"/>
      <c r="L47" s="1"/>
      <c r="M47" s="1"/>
      <c r="N47" s="1"/>
      <c r="O47" s="1"/>
      <c r="P47" s="1"/>
      <c r="Q47" s="1"/>
      <c r="R47" s="27"/>
      <c r="S47" s="27"/>
      <c r="T47" s="27"/>
      <c r="U47" s="27"/>
      <c r="V47" s="27"/>
      <c r="W47" s="27"/>
      <c r="X47" s="27"/>
      <c r="Y47" s="27"/>
      <c r="Z47" s="1"/>
    </row>
    <row r="48" spans="1:26" x14ac:dyDescent="0.3">
      <c r="A48" s="1"/>
      <c r="B48" s="1"/>
      <c r="C48" s="1"/>
      <c r="D48" s="1"/>
      <c r="E48" s="1"/>
      <c r="F48" s="1"/>
      <c r="G48" s="1"/>
      <c r="H48" s="1"/>
      <c r="I48" s="1"/>
      <c r="J48" s="1"/>
      <c r="K48" s="1"/>
      <c r="L48" s="1"/>
      <c r="M48" s="1"/>
      <c r="N48" s="1"/>
      <c r="O48" s="1"/>
      <c r="P48" s="1"/>
      <c r="Q48" s="1"/>
      <c r="R48" s="27"/>
      <c r="S48" s="27"/>
      <c r="T48" s="27"/>
      <c r="U48" s="27"/>
      <c r="V48" s="27"/>
      <c r="W48" s="27"/>
      <c r="X48" s="27"/>
      <c r="Y48" s="27"/>
      <c r="Z48" s="1"/>
    </row>
    <row r="49" spans="1:26" x14ac:dyDescent="0.3">
      <c r="A49" s="1"/>
      <c r="B49" s="1"/>
      <c r="C49" s="1"/>
      <c r="D49" s="1"/>
      <c r="E49" s="1"/>
      <c r="F49" s="1"/>
      <c r="G49" s="1"/>
      <c r="H49" s="1"/>
      <c r="I49" s="1"/>
      <c r="J49" s="1"/>
      <c r="K49" s="1"/>
      <c r="L49" s="1"/>
      <c r="M49" s="1"/>
      <c r="N49" s="1"/>
      <c r="O49" s="1"/>
      <c r="P49" s="1"/>
      <c r="Q49" s="1"/>
      <c r="R49" s="27" t="str">
        <f>Analysis!A75</f>
        <v>Top turnout state: Colorado (94.7%); biggest registration gap: California (8.1M citizens unregistered)</v>
      </c>
      <c r="S49" s="27"/>
      <c r="T49" s="27"/>
      <c r="U49" s="27"/>
      <c r="V49" s="27"/>
      <c r="W49" s="27"/>
      <c r="X49" s="27"/>
      <c r="Y49" s="27"/>
      <c r="Z49" s="1"/>
    </row>
    <row r="50" spans="1:26" x14ac:dyDescent="0.3">
      <c r="A50" s="1"/>
      <c r="B50" s="1"/>
      <c r="C50" s="1"/>
      <c r="D50" s="1"/>
      <c r="E50" s="1"/>
      <c r="F50" s="1"/>
      <c r="G50" s="1"/>
      <c r="H50" s="1"/>
      <c r="I50" s="1"/>
      <c r="J50" s="1"/>
      <c r="K50" s="1"/>
      <c r="L50" s="1"/>
      <c r="M50" s="1"/>
      <c r="N50" s="1"/>
      <c r="O50" s="1"/>
      <c r="P50" s="1"/>
      <c r="Q50" s="1"/>
      <c r="R50" s="27"/>
      <c r="S50" s="27"/>
      <c r="T50" s="27"/>
      <c r="U50" s="27"/>
      <c r="V50" s="27"/>
      <c r="W50" s="27"/>
      <c r="X50" s="27"/>
      <c r="Y50" s="27"/>
      <c r="Z50" s="1"/>
    </row>
    <row r="51" spans="1:26" x14ac:dyDescent="0.3">
      <c r="A51" s="1"/>
      <c r="B51" s="1"/>
      <c r="C51" s="1"/>
      <c r="D51" s="1"/>
      <c r="E51" s="1"/>
      <c r="F51" s="1"/>
      <c r="G51" s="1"/>
      <c r="H51" s="1"/>
      <c r="I51" s="1"/>
      <c r="J51" s="1"/>
      <c r="K51" s="1"/>
      <c r="L51" s="1"/>
      <c r="M51" s="1"/>
      <c r="N51" s="1"/>
      <c r="O51" s="1"/>
      <c r="P51" s="1"/>
      <c r="Q51" s="1"/>
      <c r="R51" s="27"/>
      <c r="S51" s="27"/>
      <c r="T51" s="27"/>
      <c r="U51" s="27"/>
      <c r="V51" s="27"/>
      <c r="W51" s="27"/>
      <c r="X51" s="27"/>
      <c r="Y51" s="27"/>
      <c r="Z51" s="1"/>
    </row>
    <row r="52" spans="1:26" x14ac:dyDescent="0.3">
      <c r="A52" s="1"/>
      <c r="B52" s="1"/>
      <c r="C52" s="1"/>
      <c r="D52" s="1"/>
      <c r="E52" s="1"/>
      <c r="F52" s="1"/>
      <c r="G52" s="1"/>
      <c r="H52" s="1"/>
      <c r="I52" s="1"/>
      <c r="J52" s="1"/>
      <c r="K52" s="1"/>
      <c r="L52" s="1"/>
      <c r="M52" s="1"/>
      <c r="N52" s="1"/>
      <c r="O52" s="1"/>
      <c r="P52" s="1"/>
      <c r="Q52" s="1"/>
      <c r="R52" s="27" t="str">
        <f>Analysis!A76</f>
        <v>Most confirmed voters: California (13.5M); highest penetration: Mississippi (73.3%)</v>
      </c>
      <c r="S52" s="27"/>
      <c r="T52" s="27"/>
      <c r="U52" s="27"/>
      <c r="V52" s="27"/>
      <c r="W52" s="27"/>
      <c r="X52" s="27"/>
      <c r="Y52" s="27"/>
      <c r="Z52" s="1"/>
    </row>
    <row r="53" spans="1:26" x14ac:dyDescent="0.3">
      <c r="A53" s="1"/>
      <c r="B53" s="1"/>
      <c r="C53" s="1"/>
      <c r="D53" s="1"/>
      <c r="E53" s="1"/>
      <c r="F53" s="1"/>
      <c r="G53" s="1"/>
      <c r="H53" s="1"/>
      <c r="I53" s="1"/>
      <c r="J53" s="1"/>
      <c r="K53" s="1"/>
      <c r="L53" s="1"/>
      <c r="M53" s="1"/>
      <c r="N53" s="1"/>
      <c r="O53" s="1"/>
      <c r="P53" s="1"/>
      <c r="Q53" s="1"/>
      <c r="R53" s="27"/>
      <c r="S53" s="27"/>
      <c r="T53" s="27"/>
      <c r="U53" s="27"/>
      <c r="V53" s="27"/>
      <c r="W53" s="27"/>
      <c r="X53" s="27"/>
      <c r="Y53" s="27"/>
      <c r="Z53" s="1"/>
    </row>
    <row r="54" spans="1:26" x14ac:dyDescent="0.3">
      <c r="A54" s="1"/>
      <c r="B54" s="1"/>
      <c r="C54" s="1"/>
      <c r="D54" s="1"/>
      <c r="E54" s="1"/>
      <c r="F54" s="1"/>
      <c r="G54" s="1"/>
      <c r="H54" s="1"/>
      <c r="I54" s="1"/>
      <c r="J54" s="1"/>
      <c r="K54" s="1"/>
      <c r="L54" s="1"/>
      <c r="M54" s="1"/>
      <c r="N54" s="1"/>
      <c r="O54" s="1"/>
      <c r="P54" s="1"/>
      <c r="Q54" s="1"/>
      <c r="R54" s="27"/>
      <c r="S54" s="27"/>
      <c r="T54" s="27"/>
      <c r="U54" s="27"/>
      <c r="V54" s="27"/>
      <c r="W54" s="27"/>
      <c r="X54" s="27"/>
      <c r="Y54" s="27"/>
      <c r="Z54" s="1"/>
    </row>
    <row r="55" spans="1:26" x14ac:dyDescent="0.3">
      <c r="A55" s="1"/>
      <c r="B55" s="1"/>
      <c r="C55" s="1"/>
      <c r="D55" s="1"/>
      <c r="E55" s="1"/>
      <c r="F55" s="1"/>
      <c r="G55" s="1"/>
      <c r="H55" s="1"/>
      <c r="I55" s="1"/>
      <c r="J55" s="1"/>
      <c r="K55" s="1"/>
      <c r="L55" s="1"/>
      <c r="M55" s="1"/>
      <c r="N55" s="1"/>
      <c r="O55" s="1"/>
      <c r="P55" s="1"/>
      <c r="Q55" s="1"/>
      <c r="R55" s="27" t="str">
        <f>Analysis!A77</f>
        <v>National: 71.2% of citizens registered, 86.8% of registered confirmed, 56.5% of total population confirmed</v>
      </c>
      <c r="S55" s="27"/>
      <c r="T55" s="27"/>
      <c r="U55" s="27"/>
      <c r="V55" s="27"/>
      <c r="W55" s="27"/>
      <c r="X55" s="27"/>
      <c r="Y55" s="27"/>
      <c r="Z55" s="1"/>
    </row>
    <row r="56" spans="1:26" x14ac:dyDescent="0.3">
      <c r="A56" s="1"/>
      <c r="B56" s="1"/>
      <c r="C56" s="1"/>
      <c r="D56" s="1"/>
      <c r="E56" s="1"/>
      <c r="F56" s="1"/>
      <c r="G56" s="1"/>
      <c r="H56" s="1"/>
      <c r="I56" s="1"/>
      <c r="J56" s="1"/>
      <c r="K56" s="1"/>
      <c r="L56" s="1"/>
      <c r="M56" s="1"/>
      <c r="N56" s="1"/>
      <c r="O56" s="1"/>
      <c r="P56" s="1"/>
      <c r="Q56" s="1"/>
      <c r="R56" s="27"/>
      <c r="S56" s="27"/>
      <c r="T56" s="27"/>
      <c r="U56" s="27"/>
      <c r="V56" s="27"/>
      <c r="W56" s="27"/>
      <c r="X56" s="27"/>
      <c r="Y56" s="27"/>
      <c r="Z56" s="1"/>
    </row>
    <row r="57" spans="1:26" x14ac:dyDescent="0.3">
      <c r="A57" s="1"/>
      <c r="B57" s="1"/>
      <c r="C57" s="1"/>
      <c r="D57" s="1"/>
      <c r="E57" s="1"/>
      <c r="F57" s="1"/>
      <c r="G57" s="1"/>
      <c r="H57" s="1"/>
      <c r="I57" s="1"/>
      <c r="J57" s="1"/>
      <c r="K57" s="1"/>
      <c r="L57" s="1"/>
      <c r="M57" s="1"/>
      <c r="N57" s="1"/>
      <c r="O57" s="1"/>
      <c r="P57" s="1"/>
      <c r="Q57" s="1"/>
      <c r="R57" s="27"/>
      <c r="S57" s="27"/>
      <c r="T57" s="27"/>
      <c r="U57" s="27"/>
      <c r="V57" s="27"/>
      <c r="W57" s="27"/>
      <c r="X57" s="27"/>
      <c r="Y57" s="27"/>
      <c r="Z57" s="1"/>
    </row>
    <row r="58" spans="1:26"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sheetData>
  <mergeCells count="20">
    <mergeCell ref="B2:Y3"/>
    <mergeCell ref="B4:Y4"/>
    <mergeCell ref="B6:E6"/>
    <mergeCell ref="F6:I6"/>
    <mergeCell ref="J6:M6"/>
    <mergeCell ref="N6:Q6"/>
    <mergeCell ref="R6:U6"/>
    <mergeCell ref="V6:Y6"/>
    <mergeCell ref="B7:E8"/>
    <mergeCell ref="F7:I8"/>
    <mergeCell ref="J7:M8"/>
    <mergeCell ref="N7:Q8"/>
    <mergeCell ref="R7:U8"/>
    <mergeCell ref="R52:Y54"/>
    <mergeCell ref="R55:Y57"/>
    <mergeCell ref="V7:Y8"/>
    <mergeCell ref="R42:Y42"/>
    <mergeCell ref="R43:Y45"/>
    <mergeCell ref="R46:Y48"/>
    <mergeCell ref="R49:Y51"/>
  </mergeCells>
  <pageMargins left="0.75" right="0.75" top="1" bottom="1" header="0.511811023622047" footer="0.511811023622047"/>
  <pageSetup paperSize="9" orientation="portrait" horizontalDpi="300" verticalDpi="300"/>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77"/>
  <sheetViews>
    <sheetView showGridLines="0" topLeftCell="D16" zoomScale="54" zoomScaleNormal="77" workbookViewId="0">
      <selection activeCell="V59" sqref="V59"/>
    </sheetView>
  </sheetViews>
  <sheetFormatPr defaultColWidth="8.6640625" defaultRowHeight="14.4" x14ac:dyDescent="0.3"/>
  <cols>
    <col min="1" max="1" width="33.5546875" customWidth="1"/>
    <col min="2" max="17" width="13" customWidth="1"/>
    <col min="18" max="18" width="19" bestFit="1" customWidth="1"/>
    <col min="19" max="19" width="30.77734375" bestFit="1" customWidth="1"/>
    <col min="20" max="20" width="25.6640625" bestFit="1" customWidth="1"/>
    <col min="21" max="21" width="31.33203125" bestFit="1" customWidth="1"/>
    <col min="22" max="23" width="13" customWidth="1"/>
    <col min="24" max="24" width="22" customWidth="1"/>
    <col min="25" max="27" width="13" customWidth="1"/>
    <col min="28" max="28" width="22" customWidth="1"/>
    <col min="29" max="30" width="13" customWidth="1"/>
    <col min="31" max="31" width="22" customWidth="1"/>
    <col min="32" max="33" width="13" customWidth="1"/>
  </cols>
  <sheetData>
    <row r="1" spans="1:33" ht="17.399999999999999" x14ac:dyDescent="0.3">
      <c r="A1" s="2" t="s">
        <v>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row>
    <row r="2" spans="1:33"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x14ac:dyDescent="0.3">
      <c r="A3" s="5" t="s">
        <v>10</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ht="26.4" x14ac:dyDescent="0.3">
      <c r="A4" s="19" t="s">
        <v>11</v>
      </c>
      <c r="B4" s="19" t="s">
        <v>12</v>
      </c>
      <c r="C4" s="19" t="s">
        <v>13</v>
      </c>
      <c r="D4" s="19" t="s">
        <v>14</v>
      </c>
      <c r="E4" s="19" t="s">
        <v>15</v>
      </c>
      <c r="F4" s="19" t="s">
        <v>16</v>
      </c>
      <c r="G4" s="19" t="s">
        <v>17</v>
      </c>
      <c r="H4" s="4"/>
      <c r="I4" s="4"/>
      <c r="J4" s="4"/>
      <c r="K4" s="4"/>
      <c r="L4" s="4"/>
      <c r="M4" s="4"/>
      <c r="N4" s="4"/>
      <c r="O4" s="4"/>
      <c r="P4" s="4"/>
      <c r="Q4" s="4"/>
      <c r="R4" s="4"/>
      <c r="S4" s="4"/>
      <c r="T4" s="4"/>
      <c r="U4" s="4"/>
      <c r="V4" s="4"/>
      <c r="W4" s="4"/>
      <c r="X4" s="4"/>
      <c r="Y4" s="4"/>
      <c r="Z4" s="4"/>
      <c r="AA4" s="4"/>
      <c r="AB4" s="4"/>
      <c r="AC4" s="4"/>
      <c r="AD4" s="4"/>
      <c r="AE4" s="4"/>
      <c r="AF4" s="4"/>
      <c r="AG4" s="4"/>
    </row>
    <row r="5" spans="1:33" x14ac:dyDescent="0.3">
      <c r="A5" s="7">
        <f>SUM('U.S. Voters (2012)'!$C$2:$C$256)</f>
        <v>235249000</v>
      </c>
      <c r="B5" s="7">
        <f>SUM('U.S. Voters (2012)'!$D$2:$D$256)</f>
        <v>215085000</v>
      </c>
      <c r="C5" s="7">
        <f>SUM('U.S. Voters (2012)'!$E$2:$E$256)</f>
        <v>153153000</v>
      </c>
      <c r="D5" s="7">
        <f>SUM('U.S. Voters (2012)'!$F$2:$F$256)</f>
        <v>132952000</v>
      </c>
      <c r="E5" s="8">
        <f>C5/B5</f>
        <v>0.71205802357207615</v>
      </c>
      <c r="F5" s="8">
        <f>D5/C5</f>
        <v>0.8680992210403975</v>
      </c>
      <c r="G5" s="8">
        <f>D5/A5</f>
        <v>0.56515436835013111</v>
      </c>
      <c r="H5" s="4"/>
      <c r="I5" s="4"/>
      <c r="J5" s="4"/>
      <c r="K5" s="4"/>
      <c r="L5" s="4"/>
      <c r="M5" s="4"/>
      <c r="N5" s="4"/>
      <c r="O5" s="4"/>
      <c r="P5" s="4"/>
      <c r="Q5" s="4"/>
      <c r="R5" s="4"/>
      <c r="S5" s="4"/>
      <c r="T5" s="4"/>
      <c r="U5" s="4"/>
      <c r="V5" s="4"/>
      <c r="W5" s="4"/>
      <c r="X5" s="4"/>
      <c r="Y5" s="4"/>
      <c r="Z5" s="4"/>
      <c r="AA5" s="4"/>
      <c r="AB5" s="4"/>
      <c r="AC5" s="4"/>
      <c r="AD5" s="4"/>
      <c r="AE5" s="4"/>
      <c r="AF5" s="4"/>
      <c r="AG5" s="4"/>
    </row>
    <row r="6" spans="1:33"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row>
    <row r="7" spans="1:33" x14ac:dyDescent="0.3">
      <c r="A7" s="5" t="s">
        <v>18</v>
      </c>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row>
    <row r="8" spans="1:33" ht="26.4" x14ac:dyDescent="0.3">
      <c r="A8" s="6" t="s">
        <v>19</v>
      </c>
      <c r="B8" s="6" t="s">
        <v>11</v>
      </c>
      <c r="C8" s="6" t="s">
        <v>12</v>
      </c>
      <c r="D8" s="6" t="s">
        <v>13</v>
      </c>
      <c r="E8" s="6" t="s">
        <v>14</v>
      </c>
      <c r="F8" s="6" t="s">
        <v>15</v>
      </c>
      <c r="G8" s="6" t="s">
        <v>16</v>
      </c>
      <c r="H8" s="6" t="s">
        <v>17</v>
      </c>
      <c r="I8" s="6" t="s">
        <v>20</v>
      </c>
      <c r="J8" s="4"/>
      <c r="K8" s="4"/>
      <c r="L8" s="4"/>
      <c r="M8" s="4"/>
      <c r="N8" s="4"/>
      <c r="O8" s="4"/>
      <c r="P8" s="4"/>
      <c r="Q8" s="4"/>
      <c r="R8" s="4"/>
      <c r="S8" s="4"/>
      <c r="T8" s="4"/>
      <c r="U8" s="4"/>
      <c r="V8" s="4"/>
      <c r="W8" s="4"/>
      <c r="X8" s="4"/>
      <c r="Y8" s="4"/>
      <c r="Z8" s="4"/>
      <c r="AA8" s="4"/>
      <c r="AB8" s="4"/>
      <c r="AC8" s="4"/>
      <c r="AD8" s="4"/>
      <c r="AE8" s="4"/>
      <c r="AF8" s="4"/>
      <c r="AG8" s="4"/>
    </row>
    <row r="9" spans="1:33" x14ac:dyDescent="0.3">
      <c r="A9" s="4" t="s">
        <v>21</v>
      </c>
      <c r="B9" s="7">
        <f>SUMIFS('U.S. Voters (2012)'!$C$2:$C$256,'U.S. Voters (2012)'!$B$2:$B$256,$A9)</f>
        <v>29881000</v>
      </c>
      <c r="C9" s="7">
        <f>SUMIFS('U.S. Voters (2012)'!$D$2:$D$256,'U.S. Voters (2012)'!$B$2:$B$256,$A9)</f>
        <v>27537000</v>
      </c>
      <c r="D9" s="7">
        <f>SUMIFS('U.S. Voters (2012)'!$E$2:$E$256,'U.S. Voters (2012)'!$B$2:$B$256,$A9)</f>
        <v>14767000</v>
      </c>
      <c r="E9" s="7">
        <f>SUMIFS('U.S. Voters (2012)'!$F$2:$F$256,'U.S. Voters (2012)'!$B$2:$B$256,$A9)</f>
        <v>11351000</v>
      </c>
      <c r="F9" s="8">
        <f t="shared" ref="F9:G14" si="0">D9/C9</f>
        <v>0.5362603043178269</v>
      </c>
      <c r="G9" s="8">
        <f t="shared" si="0"/>
        <v>0.7686733933771247</v>
      </c>
      <c r="H9" s="8">
        <f t="shared" ref="H9:H14" si="1">E9/B9</f>
        <v>0.37987349820956462</v>
      </c>
      <c r="I9" s="8">
        <f>E9/$E$14</f>
        <v>8.5376677297069617E-2</v>
      </c>
      <c r="J9" s="4"/>
      <c r="K9" s="4"/>
      <c r="L9" s="4"/>
      <c r="M9" s="4"/>
      <c r="N9" s="4"/>
      <c r="O9" s="4"/>
      <c r="P9" s="4"/>
      <c r="Q9" s="4"/>
      <c r="R9" s="4"/>
      <c r="S9" s="4"/>
      <c r="T9" s="4"/>
      <c r="U9" s="4"/>
      <c r="V9" s="4"/>
      <c r="W9" s="4"/>
      <c r="X9" s="4"/>
      <c r="Y9" s="4"/>
      <c r="Z9" s="4"/>
      <c r="AA9" s="4"/>
      <c r="AB9" s="4"/>
      <c r="AC9" s="4"/>
      <c r="AD9" s="4"/>
      <c r="AE9" s="4"/>
      <c r="AF9" s="4"/>
      <c r="AG9" s="4"/>
    </row>
    <row r="10" spans="1:33" x14ac:dyDescent="0.3">
      <c r="A10" s="4" t="s">
        <v>22</v>
      </c>
      <c r="B10" s="7">
        <f>SUMIFS('U.S. Voters (2012)'!$C$2:$C$256,'U.S. Voters (2012)'!$B$2:$B$256,$A10)</f>
        <v>41145000</v>
      </c>
      <c r="C10" s="7">
        <f>SUMIFS('U.S. Voters (2012)'!$D$2:$D$256,'U.S. Voters (2012)'!$B$2:$B$256,$A10)</f>
        <v>35474000</v>
      </c>
      <c r="D10" s="7">
        <f>SUMIFS('U.S. Voters (2012)'!$E$2:$E$256,'U.S. Voters (2012)'!$B$2:$B$256,$A10)</f>
        <v>23436000</v>
      </c>
      <c r="E10" s="7">
        <f>SUMIFS('U.S. Voters (2012)'!$F$2:$F$256,'U.S. Voters (2012)'!$B$2:$B$256,$A10)</f>
        <v>18978000</v>
      </c>
      <c r="F10" s="8">
        <f t="shared" si="0"/>
        <v>0.66065287252635729</v>
      </c>
      <c r="G10" s="8">
        <f t="shared" si="0"/>
        <v>0.80977982590885822</v>
      </c>
      <c r="H10" s="8">
        <f t="shared" si="1"/>
        <v>0.46124681006197593</v>
      </c>
      <c r="I10" s="8">
        <f>E10/$E$14</f>
        <v>0.1427432456826524</v>
      </c>
      <c r="J10" s="4"/>
      <c r="K10" s="4"/>
      <c r="L10" s="4"/>
      <c r="M10" s="4"/>
      <c r="N10" s="4"/>
      <c r="O10" s="4"/>
      <c r="P10" s="4"/>
      <c r="Q10" s="4"/>
      <c r="R10" s="4"/>
      <c r="S10" s="4"/>
      <c r="T10" s="4"/>
      <c r="U10" s="4"/>
      <c r="V10" s="4"/>
      <c r="W10" s="4"/>
      <c r="X10" s="4"/>
      <c r="Y10" s="4"/>
      <c r="Z10" s="4"/>
      <c r="AA10" s="4"/>
      <c r="AB10" s="4"/>
      <c r="AC10" s="4"/>
      <c r="AD10" s="4"/>
      <c r="AE10" s="4"/>
      <c r="AF10" s="4"/>
      <c r="AG10" s="4"/>
    </row>
    <row r="11" spans="1:33" x14ac:dyDescent="0.3">
      <c r="A11" s="4" t="s">
        <v>23</v>
      </c>
      <c r="B11" s="7">
        <f>SUMIFS('U.S. Voters (2012)'!$C$2:$C$256,'U.S. Voters (2012)'!$B$2:$B$256,$A11)</f>
        <v>39624000</v>
      </c>
      <c r="C11" s="7">
        <f>SUMIFS('U.S. Voters (2012)'!$D$2:$D$256,'U.S. Voters (2012)'!$B$2:$B$256,$A11)</f>
        <v>34266000</v>
      </c>
      <c r="D11" s="7">
        <f>SUMIFS('U.S. Voters (2012)'!$E$2:$E$256,'U.S. Voters (2012)'!$B$2:$B$256,$A11)</f>
        <v>24458000</v>
      </c>
      <c r="E11" s="7">
        <f>SUMIFS('U.S. Voters (2012)'!$F$2:$F$256,'U.S. Voters (2012)'!$B$2:$B$256,$A11)</f>
        <v>20965000</v>
      </c>
      <c r="F11" s="8">
        <f t="shared" si="0"/>
        <v>0.71376875036479304</v>
      </c>
      <c r="G11" s="8">
        <f t="shared" si="0"/>
        <v>0.85718374356038929</v>
      </c>
      <c r="H11" s="8">
        <f t="shared" si="1"/>
        <v>0.52909852614577024</v>
      </c>
      <c r="I11" s="8">
        <f>E11/$E$14</f>
        <v>0.15768848907876526</v>
      </c>
      <c r="J11" s="4"/>
      <c r="K11" s="4"/>
      <c r="L11" s="4"/>
      <c r="M11" s="4"/>
      <c r="N11" s="4"/>
      <c r="O11" s="4"/>
      <c r="P11" s="4"/>
      <c r="Q11" s="4"/>
      <c r="R11" s="4"/>
      <c r="S11" s="4"/>
      <c r="T11" s="4"/>
      <c r="U11" s="4"/>
      <c r="V11" s="4"/>
      <c r="W11" s="4"/>
      <c r="X11" s="4"/>
      <c r="Y11" s="4"/>
      <c r="Z11" s="4"/>
      <c r="AA11" s="4"/>
      <c r="AB11" s="4"/>
      <c r="AC11" s="4"/>
      <c r="AD11" s="4"/>
      <c r="AE11" s="4"/>
      <c r="AF11" s="4"/>
      <c r="AG11" s="4"/>
    </row>
    <row r="12" spans="1:33" x14ac:dyDescent="0.3">
      <c r="A12" s="4" t="s">
        <v>24</v>
      </c>
      <c r="B12" s="7">
        <f>SUMIFS('U.S. Voters (2012)'!$C$2:$C$256,'U.S. Voters (2012)'!$B$2:$B$256,$A12)</f>
        <v>82085000</v>
      </c>
      <c r="C12" s="7">
        <f>SUMIFS('U.S. Voters (2012)'!$D$2:$D$256,'U.S. Voters (2012)'!$B$2:$B$256,$A12)</f>
        <v>76641000</v>
      </c>
      <c r="D12" s="7">
        <f>SUMIFS('U.S. Voters (2012)'!$E$2:$E$256,'U.S. Voters (2012)'!$B$2:$B$256,$A12)</f>
        <v>57797000</v>
      </c>
      <c r="E12" s="7">
        <f>SUMIFS('U.S. Voters (2012)'!$F$2:$F$256,'U.S. Voters (2012)'!$B$2:$B$256,$A12)</f>
        <v>52013000</v>
      </c>
      <c r="F12" s="8">
        <f t="shared" si="0"/>
        <v>0.75412638144074318</v>
      </c>
      <c r="G12" s="8">
        <f t="shared" si="0"/>
        <v>0.89992560167482738</v>
      </c>
      <c r="H12" s="8">
        <f t="shared" si="1"/>
        <v>0.63364804775537553</v>
      </c>
      <c r="I12" s="8">
        <f>E12/$E$14</f>
        <v>0.39121637884349236</v>
      </c>
      <c r="J12" s="4"/>
      <c r="K12" s="4"/>
      <c r="L12" s="4"/>
      <c r="M12" s="4"/>
      <c r="N12" s="4"/>
      <c r="O12" s="4"/>
      <c r="P12" s="4"/>
      <c r="Q12" s="4"/>
      <c r="R12" s="4"/>
      <c r="S12" s="4"/>
      <c r="T12" s="4"/>
      <c r="U12" s="4"/>
      <c r="V12" s="4"/>
      <c r="W12" s="4"/>
      <c r="X12" s="4"/>
      <c r="Y12" s="4"/>
      <c r="Z12" s="4"/>
      <c r="AA12" s="4"/>
      <c r="AB12" s="4"/>
      <c r="AC12" s="4"/>
      <c r="AD12" s="4"/>
      <c r="AE12" s="4"/>
      <c r="AF12" s="4"/>
      <c r="AG12" s="4"/>
    </row>
    <row r="13" spans="1:33" x14ac:dyDescent="0.3">
      <c r="A13" s="4" t="s">
        <v>25</v>
      </c>
      <c r="B13" s="7">
        <f>SUMIFS('U.S. Voters (2012)'!$C$2:$C$256,'U.S. Voters (2012)'!$B$2:$B$256,$A13)</f>
        <v>42514000</v>
      </c>
      <c r="C13" s="7">
        <f>SUMIFS('U.S. Voters (2012)'!$D$2:$D$256,'U.S. Voters (2012)'!$B$2:$B$256,$A13)</f>
        <v>41167000</v>
      </c>
      <c r="D13" s="7">
        <f>SUMIFS('U.S. Voters (2012)'!$E$2:$E$256,'U.S. Voters (2012)'!$B$2:$B$256,$A13)</f>
        <v>32695000</v>
      </c>
      <c r="E13" s="7">
        <f>SUMIFS('U.S. Voters (2012)'!$F$2:$F$256,'U.S. Voters (2012)'!$B$2:$B$256,$A13)</f>
        <v>29645000</v>
      </c>
      <c r="F13" s="8">
        <f t="shared" si="0"/>
        <v>0.79420409551339666</v>
      </c>
      <c r="G13" s="8">
        <f t="shared" si="0"/>
        <v>0.90671356476525466</v>
      </c>
      <c r="H13" s="8">
        <f t="shared" si="1"/>
        <v>0.69729971303570593</v>
      </c>
      <c r="I13" s="8">
        <f>E13/$E$14</f>
        <v>0.22297520909802035</v>
      </c>
      <c r="J13" s="4"/>
      <c r="K13" s="4"/>
      <c r="L13" s="4"/>
      <c r="M13" s="4"/>
      <c r="N13" s="4"/>
      <c r="O13" s="4"/>
      <c r="P13" s="4"/>
      <c r="Q13" s="4"/>
      <c r="R13" s="4"/>
      <c r="S13" s="4"/>
      <c r="T13" s="4"/>
      <c r="U13" s="4"/>
      <c r="V13" s="4"/>
      <c r="W13" s="4"/>
      <c r="X13" s="4"/>
      <c r="Y13" s="4"/>
      <c r="Z13" s="4"/>
      <c r="AA13" s="4"/>
      <c r="AB13" s="4"/>
      <c r="AC13" s="4"/>
      <c r="AD13" s="4"/>
      <c r="AE13" s="4"/>
      <c r="AF13" s="4"/>
      <c r="AG13" s="4"/>
    </row>
    <row r="14" spans="1:33" x14ac:dyDescent="0.3">
      <c r="A14" s="9" t="s">
        <v>26</v>
      </c>
      <c r="B14" s="10">
        <f>SUM(B9:B13)</f>
        <v>235249000</v>
      </c>
      <c r="C14" s="10">
        <f>SUM(C9:C13)</f>
        <v>215085000</v>
      </c>
      <c r="D14" s="10">
        <f>SUM(D9:D13)</f>
        <v>153153000</v>
      </c>
      <c r="E14" s="10">
        <f>SUM(E9:E13)</f>
        <v>132952000</v>
      </c>
      <c r="F14" s="11">
        <f t="shared" si="0"/>
        <v>0.71205802357207615</v>
      </c>
      <c r="G14" s="11">
        <f t="shared" si="0"/>
        <v>0.8680992210403975</v>
      </c>
      <c r="H14" s="11">
        <f t="shared" si="1"/>
        <v>0.56515436835013111</v>
      </c>
      <c r="I14" s="11">
        <f>SUM(I9:I13)</f>
        <v>1</v>
      </c>
      <c r="J14" s="4"/>
      <c r="K14" s="4"/>
      <c r="L14" s="4"/>
      <c r="M14" s="4"/>
      <c r="N14" s="4"/>
      <c r="O14" s="4"/>
      <c r="P14" s="4"/>
      <c r="Q14" s="4"/>
      <c r="R14" s="4"/>
      <c r="S14" s="4"/>
      <c r="T14" s="4"/>
      <c r="U14" s="4"/>
      <c r="V14" s="4"/>
      <c r="W14" s="4"/>
      <c r="X14" s="4"/>
      <c r="Y14" s="4"/>
      <c r="Z14" s="4"/>
      <c r="AA14" s="4"/>
      <c r="AB14" s="4"/>
      <c r="AC14" s="4"/>
      <c r="AD14" s="4"/>
      <c r="AE14" s="4"/>
      <c r="AF14" s="4"/>
      <c r="AG14" s="4"/>
    </row>
    <row r="15" spans="1:33"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row>
    <row r="16" spans="1:33" x14ac:dyDescent="0.3">
      <c r="A16" s="4"/>
      <c r="B16" s="4"/>
      <c r="C16" s="4"/>
      <c r="D16" s="4"/>
      <c r="E16" s="4"/>
      <c r="F16" s="4"/>
      <c r="G16" s="4"/>
      <c r="H16" s="4"/>
      <c r="I16" s="4"/>
      <c r="J16" s="4"/>
      <c r="K16" s="4"/>
      <c r="L16" s="4"/>
      <c r="M16" s="4"/>
      <c r="N16" s="4"/>
      <c r="O16" s="4"/>
      <c r="P16" s="4"/>
      <c r="Q16" s="4"/>
      <c r="R16" s="22" t="s">
        <v>116</v>
      </c>
      <c r="S16" s="4"/>
      <c r="T16" s="4"/>
      <c r="U16" s="4"/>
      <c r="V16" s="4"/>
      <c r="W16" s="4"/>
      <c r="X16" s="4"/>
      <c r="Y16" s="4"/>
      <c r="Z16" s="4"/>
      <c r="AA16" s="4"/>
      <c r="AB16" s="4"/>
      <c r="AC16" s="4"/>
      <c r="AD16" s="4"/>
      <c r="AE16" s="4"/>
      <c r="AF16" s="4"/>
      <c r="AG16" s="4"/>
    </row>
    <row r="17" spans="1:33" x14ac:dyDescent="0.3">
      <c r="A17" s="5" t="s">
        <v>27</v>
      </c>
      <c r="B17" s="4"/>
      <c r="C17" s="4"/>
      <c r="D17" s="4"/>
      <c r="E17" s="4"/>
      <c r="F17" s="4"/>
      <c r="G17" s="4"/>
      <c r="H17" s="4"/>
      <c r="I17" s="4"/>
      <c r="J17" s="4"/>
      <c r="K17" s="4"/>
      <c r="L17" s="4"/>
      <c r="M17" s="4"/>
      <c r="N17" s="4"/>
      <c r="O17" s="4"/>
      <c r="P17" s="4"/>
      <c r="Q17" s="4"/>
      <c r="R17" s="12" t="s">
        <v>28</v>
      </c>
      <c r="S17" s="4"/>
      <c r="T17" s="4"/>
      <c r="U17" s="12" t="s">
        <v>29</v>
      </c>
      <c r="V17" s="4"/>
      <c r="W17" s="4"/>
      <c r="X17" s="12" t="s">
        <v>30</v>
      </c>
      <c r="Y17" s="4"/>
      <c r="Z17" s="4"/>
      <c r="AA17" s="4"/>
      <c r="AB17" s="12" t="s">
        <v>31</v>
      </c>
      <c r="AC17" s="4"/>
      <c r="AD17" s="4"/>
      <c r="AE17" s="12" t="s">
        <v>32</v>
      </c>
      <c r="AF17" s="4"/>
      <c r="AG17" s="4"/>
    </row>
    <row r="18" spans="1:33" ht="30" customHeight="1" x14ac:dyDescent="0.3">
      <c r="A18" s="20" t="s">
        <v>33</v>
      </c>
      <c r="B18" s="6" t="s">
        <v>11</v>
      </c>
      <c r="C18" s="6" t="s">
        <v>12</v>
      </c>
      <c r="D18" s="6" t="s">
        <v>13</v>
      </c>
      <c r="E18" s="6" t="s">
        <v>14</v>
      </c>
      <c r="F18" s="6" t="s">
        <v>15</v>
      </c>
      <c r="G18" s="6" t="s">
        <v>16</v>
      </c>
      <c r="H18" s="6" t="s">
        <v>17</v>
      </c>
      <c r="I18" s="6" t="s">
        <v>34</v>
      </c>
      <c r="J18" s="6" t="s">
        <v>35</v>
      </c>
      <c r="K18" s="6" t="s">
        <v>36</v>
      </c>
      <c r="L18" s="6" t="s">
        <v>37</v>
      </c>
      <c r="M18" s="6" t="s">
        <v>38</v>
      </c>
      <c r="N18" s="6" t="s">
        <v>39</v>
      </c>
      <c r="O18" s="6" t="s">
        <v>40</v>
      </c>
      <c r="P18" s="6" t="s">
        <v>41</v>
      </c>
      <c r="Q18" s="4"/>
      <c r="R18" s="6" t="s">
        <v>33</v>
      </c>
      <c r="S18" s="6" t="s">
        <v>42</v>
      </c>
      <c r="T18" s="4"/>
      <c r="U18" s="6" t="s">
        <v>33</v>
      </c>
      <c r="V18" s="6" t="s">
        <v>43</v>
      </c>
      <c r="W18" s="4"/>
      <c r="X18" s="6" t="s">
        <v>33</v>
      </c>
      <c r="Y18" s="6" t="s">
        <v>14</v>
      </c>
      <c r="Z18" s="6" t="s">
        <v>11</v>
      </c>
      <c r="AA18" s="4"/>
      <c r="AB18" s="6" t="s">
        <v>33</v>
      </c>
      <c r="AC18" s="6" t="s">
        <v>44</v>
      </c>
      <c r="AD18" s="4"/>
      <c r="AE18" s="6" t="s">
        <v>33</v>
      </c>
      <c r="AF18" s="6" t="s">
        <v>45</v>
      </c>
      <c r="AG18" s="6" t="s">
        <v>42</v>
      </c>
    </row>
    <row r="19" spans="1:33" x14ac:dyDescent="0.3">
      <c r="A19" s="4" t="s">
        <v>46</v>
      </c>
      <c r="B19" s="7">
        <f>SUMIFS('U.S. Voters (2012)'!$C$2:$C$256,'U.S. Voters (2012)'!$A$2:$A$256,$A19)</f>
        <v>3594000</v>
      </c>
      <c r="C19" s="7">
        <f>SUMIFS('U.S. Voters (2012)'!$D$2:$D$256,'U.S. Voters (2012)'!$A$2:$A$256,$A19)</f>
        <v>3480000</v>
      </c>
      <c r="D19" s="7">
        <f>SUMIFS('U.S. Voters (2012)'!$E$2:$E$256,'U.S. Voters (2012)'!$A$2:$A$256,$A19)</f>
        <v>2555000</v>
      </c>
      <c r="E19" s="7">
        <f>SUMIFS('U.S. Voters (2012)'!$F$2:$F$256,'U.S. Voters (2012)'!$A$2:$A$256,$A19)</f>
        <v>2154000</v>
      </c>
      <c r="F19" s="8">
        <f t="shared" ref="F19:F50" si="2">D19/C19</f>
        <v>0.73419540229885061</v>
      </c>
      <c r="G19" s="8">
        <f t="shared" ref="G19:G50" si="3">E19/D19</f>
        <v>0.84305283757338556</v>
      </c>
      <c r="H19" s="8">
        <f t="shared" ref="H19:H50" si="4">E19/B19</f>
        <v>0.59933222036727885</v>
      </c>
      <c r="I19" s="7">
        <f t="shared" ref="I19:I50" si="5">C19-D19</f>
        <v>925000</v>
      </c>
      <c r="J19" s="8">
        <f t="shared" ref="J19:J50" si="6">I19/C19</f>
        <v>0.26580459770114945</v>
      </c>
      <c r="K19" s="4">
        <f>COUNTIF($G$19:$G$69,"&gt;"&amp;G19)+COUNTIF($G$19:G19,G19)</f>
        <v>42</v>
      </c>
      <c r="L19" s="4">
        <f>COUNTIF($I$19:$I$69,"&gt;"&amp;I19)+COUNTIF($I$19:I19,I19)</f>
        <v>22</v>
      </c>
      <c r="M19" s="4">
        <f>COUNTIF($E$19:$E$69,"&gt;"&amp;E19)+COUNTIF($E$19:E19,E19)</f>
        <v>24</v>
      </c>
      <c r="N19" s="4">
        <f>COUNTIF($H$19:$H$69,"&gt;"&amp;H19)+COUNTIF($H$19:H19,H19)</f>
        <v>25</v>
      </c>
      <c r="O19" s="8">
        <f t="shared" ref="O19:O50" si="7">IF(F19&gt;=MEDIAN($F$19:$F$69),G19,2)</f>
        <v>0.84305283757338556</v>
      </c>
      <c r="P19" s="4">
        <f>COUNTIF($O$19:$O$69,"&lt;"&amp;O19)+COUNTIF($O$19:O19,O19)</f>
        <v>3</v>
      </c>
      <c r="Q19" s="4"/>
      <c r="R19" s="13" t="str">
        <f>INDEX($A$19:$A$69,MATCH(1,$K$19:$K$69,0))</f>
        <v>Colorado</v>
      </c>
      <c r="S19" s="8">
        <f>INDEX($G$19:$G$69,MATCH(1,$K$19:$K$69,0))</f>
        <v>0.94686907020872868</v>
      </c>
      <c r="T19" s="4"/>
      <c r="U19" s="13" t="str">
        <f>INDEX($A$19:$A$69,MATCH(1,$L$19:$L$69,0))</f>
        <v>California</v>
      </c>
      <c r="V19" s="7">
        <f>INDEX($I$19:$I$69,MATCH(1,$L$19:$L$69,0))</f>
        <v>8062000</v>
      </c>
      <c r="W19" s="4"/>
      <c r="X19" s="13" t="str">
        <f>INDEX($A$19:$A$69,MATCH(1,$M$19:$M$69,0))</f>
        <v>California</v>
      </c>
      <c r="Y19" s="7">
        <f>INDEX($E$19:$E$69,MATCH(1,$M$19:$M$69,0))</f>
        <v>13463000</v>
      </c>
      <c r="Z19" s="7">
        <f>INDEX($B$19:$B$69,MATCH(1,$M$19:$M$69,0))</f>
        <v>28358000</v>
      </c>
      <c r="AA19" s="4"/>
      <c r="AB19" s="13" t="str">
        <f>INDEX($A$19:$A$69,MATCH(1,$N$19:$N$69,0))</f>
        <v>Mississippi</v>
      </c>
      <c r="AC19" s="8">
        <f>INDEX($H$19:$H$69,MATCH(1,$N$19:$N$69,0))</f>
        <v>0.73281033687125052</v>
      </c>
      <c r="AD19" s="4"/>
      <c r="AE19" s="13" t="str">
        <f>INDEX($A$19:$A$69,MATCH(1,$P$19:$P$69,0))</f>
        <v>South Dakota</v>
      </c>
      <c r="AF19" s="8">
        <f>INDEX($F$19:$F$69,MATCH(1,$P$19:$P$69,0))</f>
        <v>0.74917491749174914</v>
      </c>
      <c r="AG19" s="8">
        <f>INDEX($G$19:$G$69,MATCH(1,$P$19:$P$69,0))</f>
        <v>0.81718061674008813</v>
      </c>
    </row>
    <row r="20" spans="1:33" x14ac:dyDescent="0.3">
      <c r="A20" s="4" t="s">
        <v>47</v>
      </c>
      <c r="B20" s="7">
        <f>SUMIFS('U.S. Voters (2012)'!$C$2:$C$256,'U.S. Voters (2012)'!$A$2:$A$256,$A20)</f>
        <v>516000</v>
      </c>
      <c r="C20" s="7">
        <f>SUMIFS('U.S. Voters (2012)'!$D$2:$D$256,'U.S. Voters (2012)'!$A$2:$A$256,$A20)</f>
        <v>495000</v>
      </c>
      <c r="D20" s="7">
        <f>SUMIFS('U.S. Voters (2012)'!$E$2:$E$256,'U.S. Voters (2012)'!$A$2:$A$256,$A20)</f>
        <v>360000</v>
      </c>
      <c r="E20" s="7">
        <f>SUMIFS('U.S. Voters (2012)'!$F$2:$F$256,'U.S. Voters (2012)'!$A$2:$A$256,$A20)</f>
        <v>289000</v>
      </c>
      <c r="F20" s="8">
        <f t="shared" si="2"/>
        <v>0.72727272727272729</v>
      </c>
      <c r="G20" s="8">
        <f t="shared" si="3"/>
        <v>0.80277777777777781</v>
      </c>
      <c r="H20" s="8">
        <f t="shared" si="4"/>
        <v>0.56007751937984496</v>
      </c>
      <c r="I20" s="7">
        <f t="shared" si="5"/>
        <v>135000</v>
      </c>
      <c r="J20" s="8">
        <f t="shared" si="6"/>
        <v>0.27272727272727271</v>
      </c>
      <c r="K20" s="4">
        <f>COUNTIF($G$19:$G$69,"&gt;"&amp;G20)+COUNTIF($G$19:G20,G20)</f>
        <v>49</v>
      </c>
      <c r="L20" s="4">
        <f>COUNTIF($I$19:$I$69,"&gt;"&amp;I20)+COUNTIF($I$19:I20,I20)</f>
        <v>48</v>
      </c>
      <c r="M20" s="4">
        <f>COUNTIF($E$19:$E$69,"&gt;"&amp;E20)+COUNTIF($E$19:E20,E20)</f>
        <v>50</v>
      </c>
      <c r="N20" s="4">
        <f>COUNTIF($H$19:$H$69,"&gt;"&amp;H20)+COUNTIF($H$19:H20,H20)</f>
        <v>38</v>
      </c>
      <c r="O20" s="8">
        <f t="shared" si="7"/>
        <v>2</v>
      </c>
      <c r="P20" s="4">
        <f>COUNTIF($O$19:$O$69,"&lt;"&amp;O20)+COUNTIF($O$19:O20,O20)</f>
        <v>27</v>
      </c>
      <c r="Q20" s="4"/>
      <c r="R20" s="13" t="str">
        <f>INDEX($A$19:$A$69,MATCH(2,$K$19:$K$69,0))</f>
        <v>Wisconsin</v>
      </c>
      <c r="S20" s="8">
        <f>INDEX($G$19:$G$69,MATCH(2,$K$19:$K$69,0))</f>
        <v>0.94273658830620854</v>
      </c>
      <c r="T20" s="4"/>
      <c r="U20" s="13" t="str">
        <f>INDEX($A$19:$A$69,MATCH(2,$L$19:$L$69,0))</f>
        <v>Texas</v>
      </c>
      <c r="V20" s="7">
        <f>INDEX($I$19:$I$69,MATCH(2,$L$19:$L$69,0))</f>
        <v>5312000</v>
      </c>
      <c r="W20" s="4"/>
      <c r="X20" s="13" t="str">
        <f>INDEX($A$19:$A$69,MATCH(2,$M$19:$M$69,0))</f>
        <v>Texas</v>
      </c>
      <c r="Y20" s="7">
        <f>INDEX($E$19:$E$69,MATCH(2,$M$19:$M$69,0))</f>
        <v>8643000</v>
      </c>
      <c r="Z20" s="7">
        <f>INDEX($B$19:$B$69,MATCH(2,$M$19:$M$69,0))</f>
        <v>18642000</v>
      </c>
      <c r="AA20" s="4"/>
      <c r="AB20" s="13" t="str">
        <f>INDEX($A$19:$A$69,MATCH(2,$N$19:$N$69,0))</f>
        <v>Wisconsin</v>
      </c>
      <c r="AC20" s="8">
        <f>INDEX($H$19:$H$69,MATCH(2,$N$19:$N$69,0))</f>
        <v>0.71891519190990572</v>
      </c>
      <c r="AD20" s="4"/>
      <c r="AE20" s="13" t="str">
        <f>INDEX($A$19:$A$69,MATCH(2,$P$19:$P$69,0))</f>
        <v>Missouri</v>
      </c>
      <c r="AF20" s="8">
        <f>INDEX($F$19:$F$69,MATCH(2,$P$19:$P$69,0))</f>
        <v>0.76729417101383535</v>
      </c>
      <c r="AG20" s="8">
        <f>INDEX($G$19:$G$69,MATCH(2,$P$19:$P$69,0))</f>
        <v>0.83298847177061774</v>
      </c>
    </row>
    <row r="21" spans="1:33" x14ac:dyDescent="0.3">
      <c r="A21" s="4" t="s">
        <v>48</v>
      </c>
      <c r="B21" s="7">
        <f>SUMIFS('U.S. Voters (2012)'!$C$2:$C$256,'U.S. Voters (2012)'!$A$2:$A$256,$A21)</f>
        <v>4863000</v>
      </c>
      <c r="C21" s="7">
        <f>SUMIFS('U.S. Voters (2012)'!$D$2:$D$256,'U.S. Voters (2012)'!$A$2:$A$256,$A21)</f>
        <v>4315000</v>
      </c>
      <c r="D21" s="7">
        <f>SUMIFS('U.S. Voters (2012)'!$E$2:$E$256,'U.S. Voters (2012)'!$A$2:$A$256,$A21)</f>
        <v>2811000</v>
      </c>
      <c r="E21" s="7">
        <f>SUMIFS('U.S. Voters (2012)'!$F$2:$F$256,'U.S. Voters (2012)'!$A$2:$A$256,$A21)</f>
        <v>2412000</v>
      </c>
      <c r="F21" s="8">
        <f t="shared" si="2"/>
        <v>0.65144843568945543</v>
      </c>
      <c r="G21" s="8">
        <f t="shared" si="3"/>
        <v>0.85805763073639274</v>
      </c>
      <c r="H21" s="8">
        <f t="shared" si="4"/>
        <v>0.49599012954966071</v>
      </c>
      <c r="I21" s="7">
        <f t="shared" si="5"/>
        <v>1504000</v>
      </c>
      <c r="J21" s="8">
        <f t="shared" si="6"/>
        <v>0.34855156431054463</v>
      </c>
      <c r="K21" s="4">
        <f>COUNTIF($G$19:$G$69,"&gt;"&amp;G21)+COUNTIF($G$19:G21,G21)</f>
        <v>34</v>
      </c>
      <c r="L21" s="4">
        <f>COUNTIF($I$19:$I$69,"&gt;"&amp;I21)+COUNTIF($I$19:I21,I21)</f>
        <v>11</v>
      </c>
      <c r="M21" s="4">
        <f>COUNTIF($E$19:$E$69,"&gt;"&amp;E21)+COUNTIF($E$19:E21,E21)</f>
        <v>22</v>
      </c>
      <c r="N21" s="4">
        <f>COUNTIF($H$19:$H$69,"&gt;"&amp;H21)+COUNTIF($H$19:H21,H21)</f>
        <v>47</v>
      </c>
      <c r="O21" s="8">
        <f t="shared" si="7"/>
        <v>2</v>
      </c>
      <c r="P21" s="4">
        <f>COUNTIF($O$19:$O$69,"&lt;"&amp;O21)+COUNTIF($O$19:O21,O21)</f>
        <v>28</v>
      </c>
      <c r="Q21" s="4"/>
      <c r="R21" s="13" t="str">
        <f>INDEX($A$19:$A$69,MATCH(3,$K$19:$K$69,0))</f>
        <v>Minnesota</v>
      </c>
      <c r="S21" s="8">
        <f>INDEX($G$19:$G$69,MATCH(3,$K$19:$K$69,0))</f>
        <v>0.92674230145867098</v>
      </c>
      <c r="T21" s="4"/>
      <c r="U21" s="13" t="str">
        <f>INDEX($A$19:$A$69,MATCH(3,$L$19:$L$69,0))</f>
        <v>Florida</v>
      </c>
      <c r="V21" s="7">
        <f>INDEX($I$19:$I$69,MATCH(3,$L$19:$L$69,0))</f>
        <v>4224000</v>
      </c>
      <c r="W21" s="4"/>
      <c r="X21" s="13" t="str">
        <f>INDEX($A$19:$A$69,MATCH(3,$M$19:$M$69,0))</f>
        <v>Florida</v>
      </c>
      <c r="Y21" s="7">
        <f>INDEX($E$19:$E$69,MATCH(3,$M$19:$M$69,0))</f>
        <v>8107000</v>
      </c>
      <c r="Z21" s="7">
        <f>INDEX($B$19:$B$69,MATCH(3,$M$19:$M$69,0))</f>
        <v>15033000</v>
      </c>
      <c r="AA21" s="4"/>
      <c r="AB21" s="13" t="str">
        <f>INDEX($A$19:$A$69,MATCH(3,$N$19:$N$69,0))</f>
        <v>Minnesota</v>
      </c>
      <c r="AC21" s="8">
        <f>INDEX($H$19:$H$69,MATCH(3,$N$19:$N$69,0))</f>
        <v>0.7052294030587074</v>
      </c>
      <c r="AD21" s="4"/>
      <c r="AE21" s="13" t="str">
        <f>INDEX($A$19:$A$69,MATCH(3,$P$19:$P$69,0))</f>
        <v>Alabama</v>
      </c>
      <c r="AF21" s="8">
        <f>INDEX($F$19:$F$69,MATCH(3,$P$19:$P$69,0))</f>
        <v>0.73419540229885061</v>
      </c>
      <c r="AG21" s="8">
        <f>INDEX($G$19:$G$69,MATCH(3,$P$19:$P$69,0))</f>
        <v>0.84305283757338556</v>
      </c>
    </row>
    <row r="22" spans="1:33" x14ac:dyDescent="0.3">
      <c r="A22" s="4" t="s">
        <v>49</v>
      </c>
      <c r="B22" s="7">
        <f>SUMIFS('U.S. Voters (2012)'!$C$2:$C$256,'U.S. Voters (2012)'!$A$2:$A$256,$A22)</f>
        <v>2198000</v>
      </c>
      <c r="C22" s="7">
        <f>SUMIFS('U.S. Voters (2012)'!$D$2:$D$256,'U.S. Voters (2012)'!$A$2:$A$256,$A22)</f>
        <v>2110000</v>
      </c>
      <c r="D22" s="7">
        <f>SUMIFS('U.S. Voters (2012)'!$E$2:$E$256,'U.S. Voters (2012)'!$A$2:$A$256,$A22)</f>
        <v>1376000</v>
      </c>
      <c r="E22" s="7">
        <f>SUMIFS('U.S. Voters (2012)'!$F$2:$F$256,'U.S. Voters (2012)'!$A$2:$A$256,$A22)</f>
        <v>1124000</v>
      </c>
      <c r="F22" s="8">
        <f t="shared" si="2"/>
        <v>0.65213270142180091</v>
      </c>
      <c r="G22" s="8">
        <f t="shared" si="3"/>
        <v>0.81686046511627908</v>
      </c>
      <c r="H22" s="8">
        <f t="shared" si="4"/>
        <v>0.51137397634212922</v>
      </c>
      <c r="I22" s="7">
        <f t="shared" si="5"/>
        <v>734000</v>
      </c>
      <c r="J22" s="8">
        <f t="shared" si="6"/>
        <v>0.34786729857819904</v>
      </c>
      <c r="K22" s="4">
        <f>COUNTIF($G$19:$G$69,"&gt;"&amp;G22)+COUNTIF($G$19:G22,G22)</f>
        <v>46</v>
      </c>
      <c r="L22" s="4">
        <f>COUNTIF($I$19:$I$69,"&gt;"&amp;I22)+COUNTIF($I$19:I22,I22)</f>
        <v>29</v>
      </c>
      <c r="M22" s="4">
        <f>COUNTIF($E$19:$E$69,"&gt;"&amp;E22)+COUNTIF($E$19:E22,E22)</f>
        <v>33</v>
      </c>
      <c r="N22" s="4">
        <f>COUNTIF($H$19:$H$69,"&gt;"&amp;H22)+COUNTIF($H$19:H22,H22)</f>
        <v>44</v>
      </c>
      <c r="O22" s="8">
        <f t="shared" si="7"/>
        <v>2</v>
      </c>
      <c r="P22" s="4">
        <f>COUNTIF($O$19:$O$69,"&lt;"&amp;O22)+COUNTIF($O$19:O22,O22)</f>
        <v>29</v>
      </c>
      <c r="Q22" s="4"/>
      <c r="R22" s="13" t="str">
        <f>INDEX($A$19:$A$69,MATCH(4,$K$19:$K$69,0))</f>
        <v>Wyoming</v>
      </c>
      <c r="S22" s="8">
        <f>INDEX($G$19:$G$69,MATCH(4,$K$19:$K$69,0))</f>
        <v>0.92164179104477617</v>
      </c>
      <c r="T22" s="4"/>
      <c r="U22" s="13" t="str">
        <f>INDEX($A$19:$A$69,MATCH(4,$L$19:$L$69,0))</f>
        <v>New York</v>
      </c>
      <c r="V22" s="7">
        <f>INDEX($I$19:$I$69,MATCH(4,$L$19:$L$69,0))</f>
        <v>4195000</v>
      </c>
      <c r="W22" s="4"/>
      <c r="X22" s="13" t="str">
        <f>INDEX($A$19:$A$69,MATCH(4,$M$19:$M$69,0))</f>
        <v>New York</v>
      </c>
      <c r="Y22" s="7">
        <f>INDEX($E$19:$E$69,MATCH(4,$M$19:$M$69,0))</f>
        <v>7676000</v>
      </c>
      <c r="Z22" s="7">
        <f>INDEX($B$19:$B$69,MATCH(4,$M$19:$M$69,0))</f>
        <v>15066000</v>
      </c>
      <c r="AA22" s="4"/>
      <c r="AB22" s="13" t="str">
        <f>INDEX($A$19:$A$69,MATCH(4,$N$19:$N$69,0))</f>
        <v>District Of Columbia</v>
      </c>
      <c r="AC22" s="8">
        <f>INDEX($H$19:$H$69,MATCH(4,$N$19:$N$69,0))</f>
        <v>0.67891682785299812</v>
      </c>
      <c r="AD22" s="4"/>
      <c r="AE22" s="13" t="str">
        <f>INDEX($A$19:$A$69,MATCH(4,$P$19:$P$69,0))</f>
        <v>New Jersey</v>
      </c>
      <c r="AF22" s="8">
        <f>INDEX($F$19:$F$69,MATCH(4,$P$19:$P$69,0))</f>
        <v>0.72963400236127507</v>
      </c>
      <c r="AG22" s="8">
        <f>INDEX($G$19:$G$69,MATCH(4,$P$19:$P$69,0))</f>
        <v>0.8483587609801202</v>
      </c>
    </row>
    <row r="23" spans="1:33" x14ac:dyDescent="0.3">
      <c r="A23" s="4" t="s">
        <v>50</v>
      </c>
      <c r="B23" s="7">
        <f>SUMIFS('U.S. Voters (2012)'!$C$2:$C$256,'U.S. Voters (2012)'!$A$2:$A$256,$A23)</f>
        <v>28358000</v>
      </c>
      <c r="C23" s="7">
        <f>SUMIFS('U.S. Voters (2012)'!$D$2:$D$256,'U.S. Voters (2012)'!$A$2:$A$256,$A23)</f>
        <v>23418000</v>
      </c>
      <c r="D23" s="7">
        <f>SUMIFS('U.S. Voters (2012)'!$E$2:$E$256,'U.S. Voters (2012)'!$A$2:$A$256,$A23)</f>
        <v>15356000</v>
      </c>
      <c r="E23" s="7">
        <f>SUMIFS('U.S. Voters (2012)'!$F$2:$F$256,'U.S. Voters (2012)'!$A$2:$A$256,$A23)</f>
        <v>13463000</v>
      </c>
      <c r="F23" s="8">
        <f t="shared" si="2"/>
        <v>0.65573490477410534</v>
      </c>
      <c r="G23" s="8">
        <f t="shared" si="3"/>
        <v>0.87672570982026565</v>
      </c>
      <c r="H23" s="8">
        <f t="shared" si="4"/>
        <v>0.47475139290500035</v>
      </c>
      <c r="I23" s="7">
        <f t="shared" si="5"/>
        <v>8062000</v>
      </c>
      <c r="J23" s="8">
        <f t="shared" si="6"/>
        <v>0.3442650952258946</v>
      </c>
      <c r="K23" s="4">
        <f>COUNTIF($G$19:$G$69,"&gt;"&amp;G23)+COUNTIF($G$19:G23,G23)</f>
        <v>27</v>
      </c>
      <c r="L23" s="4">
        <f>COUNTIF($I$19:$I$69,"&gt;"&amp;I23)+COUNTIF($I$19:I23,I23)</f>
        <v>1</v>
      </c>
      <c r="M23" s="4">
        <f>COUNTIF($E$19:$E$69,"&gt;"&amp;E23)+COUNTIF($E$19:E23,E23)</f>
        <v>1</v>
      </c>
      <c r="N23" s="4">
        <f>COUNTIF($H$19:$H$69,"&gt;"&amp;H23)+COUNTIF($H$19:H23,H23)</f>
        <v>49</v>
      </c>
      <c r="O23" s="8">
        <f t="shared" si="7"/>
        <v>2</v>
      </c>
      <c r="P23" s="4">
        <f>COUNTIF($O$19:$O$69,"&lt;"&amp;O23)+COUNTIF($O$19:O23,O23)</f>
        <v>30</v>
      </c>
      <c r="Q23" s="4"/>
      <c r="R23" s="13" t="str">
        <f>INDEX($A$19:$A$69,MATCH(5,$K$19:$K$69,0))</f>
        <v>Delaware</v>
      </c>
      <c r="S23" s="8">
        <f>INDEX($G$19:$G$69,MATCH(5,$K$19:$K$69,0))</f>
        <v>0.91684434968017059</v>
      </c>
      <c r="T23" s="4"/>
      <c r="U23" s="13" t="str">
        <f>INDEX($A$19:$A$69,MATCH(5,$L$19:$L$69,0))</f>
        <v>Pennsylvania</v>
      </c>
      <c r="V23" s="7">
        <f>INDEX($I$19:$I$69,MATCH(5,$L$19:$L$69,0))</f>
        <v>2657000</v>
      </c>
      <c r="W23" s="4"/>
      <c r="X23" s="13" t="str">
        <f>INDEX($A$19:$A$69,MATCH(5,$M$19:$M$69,0))</f>
        <v>Pennsylvania</v>
      </c>
      <c r="Y23" s="7">
        <f>INDEX($E$19:$E$69,MATCH(5,$M$19:$M$69,0))</f>
        <v>5824000</v>
      </c>
      <c r="Z23" s="7">
        <f>INDEX($B$19:$B$69,MATCH(5,$M$19:$M$69,0))</f>
        <v>9848000</v>
      </c>
      <c r="AA23" s="4"/>
      <c r="AB23" s="13" t="str">
        <f>INDEX($A$19:$A$69,MATCH(5,$N$19:$N$69,0))</f>
        <v>Maine</v>
      </c>
      <c r="AC23" s="8">
        <f>INDEX($H$19:$H$69,MATCH(5,$N$19:$N$69,0))</f>
        <v>0.67146974063400577</v>
      </c>
      <c r="AD23" s="4"/>
      <c r="AE23" s="13" t="str">
        <f>INDEX($A$19:$A$69,MATCH(5,$P$19:$P$69,0))</f>
        <v>Rhode Island</v>
      </c>
      <c r="AF23" s="8">
        <f>INDEX($F$19:$F$69,MATCH(5,$P$19:$P$69,0))</f>
        <v>0.73501997336884151</v>
      </c>
      <c r="AG23" s="8">
        <f>INDEX($G$19:$G$69,MATCH(5,$P$19:$P$69,0))</f>
        <v>0.84963768115942029</v>
      </c>
    </row>
    <row r="24" spans="1:33" x14ac:dyDescent="0.3">
      <c r="A24" s="4" t="s">
        <v>51</v>
      </c>
      <c r="B24" s="7">
        <f>SUMIFS('U.S. Voters (2012)'!$C$2:$C$256,'U.S. Voters (2012)'!$A$2:$A$256,$A24)</f>
        <v>3817000</v>
      </c>
      <c r="C24" s="7">
        <f>SUMIFS('U.S. Voters (2012)'!$D$2:$D$256,'U.S. Voters (2012)'!$A$2:$A$256,$A24)</f>
        <v>3543000</v>
      </c>
      <c r="D24" s="7">
        <f>SUMIFS('U.S. Voters (2012)'!$E$2:$E$256,'U.S. Voters (2012)'!$A$2:$A$256,$A24)</f>
        <v>2635000</v>
      </c>
      <c r="E24" s="7">
        <f>SUMIFS('U.S. Voters (2012)'!$F$2:$F$256,'U.S. Voters (2012)'!$A$2:$A$256,$A24)</f>
        <v>2495000</v>
      </c>
      <c r="F24" s="8">
        <f t="shared" si="2"/>
        <v>0.74372001128986731</v>
      </c>
      <c r="G24" s="8">
        <f t="shared" si="3"/>
        <v>0.94686907020872868</v>
      </c>
      <c r="H24" s="8">
        <f t="shared" si="4"/>
        <v>0.65365470264605707</v>
      </c>
      <c r="I24" s="7">
        <f t="shared" si="5"/>
        <v>908000</v>
      </c>
      <c r="J24" s="8">
        <f t="shared" si="6"/>
        <v>0.25627998871013263</v>
      </c>
      <c r="K24" s="4">
        <f>COUNTIF($G$19:$G$69,"&gt;"&amp;G24)+COUNTIF($G$19:G24,G24)</f>
        <v>1</v>
      </c>
      <c r="L24" s="4">
        <f>COUNTIF($I$19:$I$69,"&gt;"&amp;I24)+COUNTIF($I$19:I24,I24)</f>
        <v>23</v>
      </c>
      <c r="M24" s="4">
        <f>COUNTIF($E$19:$E$69,"&gt;"&amp;E24)+COUNTIF($E$19:E24,E24)</f>
        <v>21</v>
      </c>
      <c r="N24" s="4">
        <f>COUNTIF($H$19:$H$69,"&gt;"&amp;H24)+COUNTIF($H$19:H24,H24)</f>
        <v>9</v>
      </c>
      <c r="O24" s="8">
        <f t="shared" si="7"/>
        <v>0.94686907020872868</v>
      </c>
      <c r="P24" s="4">
        <f>COUNTIF($O$19:$O$69,"&lt;"&amp;O24)+COUNTIF($O$19:O24,O24)</f>
        <v>26</v>
      </c>
      <c r="Q24" s="4"/>
      <c r="R24" s="13" t="str">
        <f>INDEX($A$19:$A$69,MATCH(6,$K$19:$K$69,0))</f>
        <v>New Hampshire</v>
      </c>
      <c r="S24" s="8">
        <f>INDEX($G$19:$G$69,MATCH(6,$K$19:$K$69,0))</f>
        <v>0.91489361702127658</v>
      </c>
      <c r="T24" s="4"/>
      <c r="U24" s="13" t="str">
        <f>INDEX($A$19:$A$69,MATCH(6,$L$19:$L$69,0))</f>
        <v>Ohio</v>
      </c>
      <c r="V24" s="7">
        <f>INDEX($I$19:$I$69,MATCH(6,$L$19:$L$69,0))</f>
        <v>2474000</v>
      </c>
      <c r="W24" s="4"/>
      <c r="X24" s="13" t="str">
        <f>INDEX($A$19:$A$69,MATCH(6,$M$19:$M$69,0))</f>
        <v>Illinois</v>
      </c>
      <c r="Y24" s="7">
        <f>INDEX($E$19:$E$69,MATCH(6,$M$19:$M$69,0))</f>
        <v>5428000</v>
      </c>
      <c r="Z24" s="7">
        <f>INDEX($B$19:$B$69,MATCH(6,$M$19:$M$69,0))</f>
        <v>9650000</v>
      </c>
      <c r="AA24" s="4"/>
      <c r="AB24" s="13" t="str">
        <f>INDEX($A$19:$A$69,MATCH(6,$N$19:$N$69,0))</f>
        <v>New Hampshire</v>
      </c>
      <c r="AC24" s="8">
        <f>INDEX($H$19:$H$69,MATCH(6,$N$19:$N$69,0))</f>
        <v>0.66861030126336252</v>
      </c>
      <c r="AD24" s="4"/>
      <c r="AE24" s="13" t="str">
        <f>INDEX($A$19:$A$69,MATCH(6,$P$19:$P$69,0))</f>
        <v>Kansas</v>
      </c>
      <c r="AF24" s="8">
        <f>INDEX($F$19:$F$69,MATCH(6,$P$19:$P$69,0))</f>
        <v>0.74316109422492405</v>
      </c>
      <c r="AG24" s="8">
        <f>INDEX($G$19:$G$69,MATCH(6,$P$19:$P$69,0))</f>
        <v>0.8513974096796183</v>
      </c>
    </row>
    <row r="25" spans="1:33" x14ac:dyDescent="0.3">
      <c r="A25" s="4" t="s">
        <v>52</v>
      </c>
      <c r="B25" s="7">
        <f>SUMIFS('U.S. Voters (2012)'!$C$2:$C$256,'U.S. Voters (2012)'!$A$2:$A$256,$A25)</f>
        <v>2726000</v>
      </c>
      <c r="C25" s="7">
        <f>SUMIFS('U.S. Voters (2012)'!$D$2:$D$256,'U.S. Voters (2012)'!$A$2:$A$256,$A25)</f>
        <v>2500000</v>
      </c>
      <c r="D25" s="7">
        <f>SUMIFS('U.S. Voters (2012)'!$E$2:$E$256,'U.S. Voters (2012)'!$A$2:$A$256,$A25)</f>
        <v>1761000</v>
      </c>
      <c r="E25" s="7">
        <f>SUMIFS('U.S. Voters (2012)'!$F$2:$F$256,'U.S. Voters (2012)'!$A$2:$A$256,$A25)</f>
        <v>1569000</v>
      </c>
      <c r="F25" s="8">
        <f t="shared" si="2"/>
        <v>0.70440000000000003</v>
      </c>
      <c r="G25" s="8">
        <f t="shared" si="3"/>
        <v>0.89097103918228282</v>
      </c>
      <c r="H25" s="8">
        <f t="shared" si="4"/>
        <v>0.5755685986793837</v>
      </c>
      <c r="I25" s="7">
        <f t="shared" si="5"/>
        <v>739000</v>
      </c>
      <c r="J25" s="8">
        <f t="shared" si="6"/>
        <v>0.29559999999999997</v>
      </c>
      <c r="K25" s="4">
        <f>COUNTIF($G$19:$G$69,"&gt;"&amp;G25)+COUNTIF($G$19:G25,G25)</f>
        <v>18</v>
      </c>
      <c r="L25" s="4">
        <f>COUNTIF($I$19:$I$69,"&gt;"&amp;I25)+COUNTIF($I$19:I25,I25)</f>
        <v>28</v>
      </c>
      <c r="M25" s="4">
        <f>COUNTIF($E$19:$E$69,"&gt;"&amp;E25)+COUNTIF($E$19:E25,E25)</f>
        <v>29</v>
      </c>
      <c r="N25" s="4">
        <f>COUNTIF($H$19:$H$69,"&gt;"&amp;H25)+COUNTIF($H$19:H25,H25)</f>
        <v>34</v>
      </c>
      <c r="O25" s="8">
        <f t="shared" si="7"/>
        <v>2</v>
      </c>
      <c r="P25" s="4">
        <f>COUNTIF($O$19:$O$69,"&lt;"&amp;O25)+COUNTIF($O$19:O25,O25)</f>
        <v>31</v>
      </c>
      <c r="Q25" s="4"/>
      <c r="R25" s="13" t="str">
        <f>INDEX($A$19:$A$69,MATCH(7,$K$19:$K$69,0))</f>
        <v>Idaho</v>
      </c>
      <c r="S25" s="8">
        <f>INDEX($G$19:$G$69,MATCH(7,$K$19:$K$69,0))</f>
        <v>0.91397849462365588</v>
      </c>
      <c r="T25" s="4"/>
      <c r="U25" s="13" t="str">
        <f>INDEX($A$19:$A$69,MATCH(7,$L$19:$L$69,0))</f>
        <v>Illinois</v>
      </c>
      <c r="V25" s="7">
        <f>INDEX($I$19:$I$69,MATCH(7,$L$19:$L$69,0))</f>
        <v>2407000</v>
      </c>
      <c r="W25" s="4"/>
      <c r="X25" s="13" t="str">
        <f>INDEX($A$19:$A$69,MATCH(7,$M$19:$M$69,0))</f>
        <v>Ohio</v>
      </c>
      <c r="Y25" s="7">
        <f>INDEX($E$19:$E$69,MATCH(7,$M$19:$M$69,0))</f>
        <v>5395000</v>
      </c>
      <c r="Z25" s="7">
        <f>INDEX($B$19:$B$69,MATCH(7,$M$19:$M$69,0))</f>
        <v>8751000</v>
      </c>
      <c r="AA25" s="4"/>
      <c r="AB25" s="13" t="str">
        <f>INDEX($A$19:$A$69,MATCH(7,$N$19:$N$69,0))</f>
        <v>Iowa</v>
      </c>
      <c r="AC25" s="8">
        <f>INDEX($H$19:$H$69,MATCH(7,$N$19:$N$69,0))</f>
        <v>0.66752910737386806</v>
      </c>
      <c r="AD25" s="4"/>
      <c r="AE25" s="13" t="str">
        <f>INDEX($A$19:$A$69,MATCH(7,$P$19:$P$69,0))</f>
        <v>North Dakota</v>
      </c>
      <c r="AF25" s="8">
        <f>INDEX($F$19:$F$69,MATCH(7,$P$19:$P$69,0))</f>
        <v>0.74563106796116507</v>
      </c>
      <c r="AG25" s="8">
        <f>INDEX($G$19:$G$69,MATCH(7,$P$19:$P$69,0))</f>
        <v>0.85416666666666663</v>
      </c>
    </row>
    <row r="26" spans="1:33" x14ac:dyDescent="0.3">
      <c r="A26" s="4" t="s">
        <v>53</v>
      </c>
      <c r="B26" s="7">
        <f>SUMIFS('U.S. Voters (2012)'!$C$2:$C$256,'U.S. Voters (2012)'!$A$2:$A$256,$A26)</f>
        <v>693000</v>
      </c>
      <c r="C26" s="7">
        <f>SUMIFS('U.S. Voters (2012)'!$D$2:$D$256,'U.S. Voters (2012)'!$A$2:$A$256,$A26)</f>
        <v>642000</v>
      </c>
      <c r="D26" s="7">
        <f>SUMIFS('U.S. Voters (2012)'!$E$2:$E$256,'U.S. Voters (2012)'!$A$2:$A$256,$A26)</f>
        <v>469000</v>
      </c>
      <c r="E26" s="7">
        <f>SUMIFS('U.S. Voters (2012)'!$F$2:$F$256,'U.S. Voters (2012)'!$A$2:$A$256,$A26)</f>
        <v>430000</v>
      </c>
      <c r="F26" s="8">
        <f t="shared" si="2"/>
        <v>0.73052959501557635</v>
      </c>
      <c r="G26" s="8">
        <f t="shared" si="3"/>
        <v>0.91684434968017059</v>
      </c>
      <c r="H26" s="8">
        <f t="shared" si="4"/>
        <v>0.62049062049062054</v>
      </c>
      <c r="I26" s="7">
        <f t="shared" si="5"/>
        <v>173000</v>
      </c>
      <c r="J26" s="8">
        <f t="shared" si="6"/>
        <v>0.26947040498442365</v>
      </c>
      <c r="K26" s="4">
        <f>COUNTIF($G$19:$G$69,"&gt;"&amp;G26)+COUNTIF($G$19:G26,G26)</f>
        <v>5</v>
      </c>
      <c r="L26" s="4">
        <f>COUNTIF($I$19:$I$69,"&gt;"&amp;I26)+COUNTIF($I$19:I26,I26)</f>
        <v>45</v>
      </c>
      <c r="M26" s="4">
        <f>COUNTIF($E$19:$E$69,"&gt;"&amp;E26)+COUNTIF($E$19:E26,E26)</f>
        <v>45</v>
      </c>
      <c r="N26" s="4">
        <f>COUNTIF($H$19:$H$69,"&gt;"&amp;H26)+COUNTIF($H$19:H26,H26)</f>
        <v>18</v>
      </c>
      <c r="O26" s="8">
        <f t="shared" si="7"/>
        <v>0.91684434968017059</v>
      </c>
      <c r="P26" s="4">
        <f>COUNTIF($O$19:$O$69,"&lt;"&amp;O26)+COUNTIF($O$19:O26,O26)</f>
        <v>23</v>
      </c>
      <c r="Q26" s="4"/>
      <c r="R26" s="13" t="str">
        <f>INDEX($A$19:$A$69,MATCH(8,$K$19:$K$69,0))</f>
        <v>District Of Columbia</v>
      </c>
      <c r="S26" s="8">
        <f>INDEX($G$19:$G$69,MATCH(8,$K$19:$K$69,0))</f>
        <v>0.91168831168831166</v>
      </c>
      <c r="T26" s="4"/>
      <c r="U26" s="13" t="str">
        <f>INDEX($A$19:$A$69,MATCH(8,$L$19:$L$69,0))</f>
        <v>Georgia</v>
      </c>
      <c r="V26" s="7">
        <f>INDEX($I$19:$I$69,MATCH(8,$L$19:$L$69,0))</f>
        <v>1972000</v>
      </c>
      <c r="W26" s="4"/>
      <c r="X26" s="13" t="str">
        <f>INDEX($A$19:$A$69,MATCH(8,$M$19:$M$69,0))</f>
        <v>Michigan</v>
      </c>
      <c r="Y26" s="7">
        <f>INDEX($E$19:$E$69,MATCH(8,$M$19:$M$69,0))</f>
        <v>4831000</v>
      </c>
      <c r="Z26" s="7">
        <f>INDEX($B$19:$B$69,MATCH(8,$M$19:$M$69,0))</f>
        <v>7496000</v>
      </c>
      <c r="AA26" s="4"/>
      <c r="AB26" s="13" t="str">
        <f>INDEX($A$19:$A$69,MATCH(8,$N$19:$N$69,0))</f>
        <v>Massachusetts</v>
      </c>
      <c r="AC26" s="8">
        <f>INDEX($H$19:$H$69,MATCH(8,$N$19:$N$69,0))</f>
        <v>0.65415860735009668</v>
      </c>
      <c r="AD26" s="4"/>
      <c r="AE26" s="13" t="str">
        <f>INDEX($A$19:$A$69,MATCH(8,$P$19:$P$69,0))</f>
        <v>Michigan</v>
      </c>
      <c r="AF26" s="8">
        <f>INDEX($F$19:$F$69,MATCH(8,$P$19:$P$69,0))</f>
        <v>0.77767017155506368</v>
      </c>
      <c r="AG26" s="8">
        <f>INDEX($G$19:$G$69,MATCH(8,$P$19:$P$69,0))</f>
        <v>0.85945561288027039</v>
      </c>
    </row>
    <row r="27" spans="1:33" x14ac:dyDescent="0.3">
      <c r="A27" s="4" t="s">
        <v>54</v>
      </c>
      <c r="B27" s="7">
        <f>SUMIFS('U.S. Voters (2012)'!$C$2:$C$256,'U.S. Voters (2012)'!$A$2:$A$256,$A27)</f>
        <v>517000</v>
      </c>
      <c r="C27" s="7">
        <f>SUMIFS('U.S. Voters (2012)'!$D$2:$D$256,'U.S. Voters (2012)'!$A$2:$A$256,$A27)</f>
        <v>461000</v>
      </c>
      <c r="D27" s="7">
        <f>SUMIFS('U.S. Voters (2012)'!$E$2:$E$256,'U.S. Voters (2012)'!$A$2:$A$256,$A27)</f>
        <v>385000</v>
      </c>
      <c r="E27" s="7">
        <f>SUMIFS('U.S. Voters (2012)'!$F$2:$F$256,'U.S. Voters (2012)'!$A$2:$A$256,$A27)</f>
        <v>351000</v>
      </c>
      <c r="F27" s="8">
        <f t="shared" si="2"/>
        <v>0.83514099783080264</v>
      </c>
      <c r="G27" s="8">
        <f t="shared" si="3"/>
        <v>0.91168831168831166</v>
      </c>
      <c r="H27" s="8">
        <f t="shared" si="4"/>
        <v>0.67891682785299812</v>
      </c>
      <c r="I27" s="7">
        <f t="shared" si="5"/>
        <v>76000</v>
      </c>
      <c r="J27" s="8">
        <f t="shared" si="6"/>
        <v>0.16485900216919741</v>
      </c>
      <c r="K27" s="4">
        <f>COUNTIF($G$19:$G$69,"&gt;"&amp;G27)+COUNTIF($G$19:G27,G27)</f>
        <v>8</v>
      </c>
      <c r="L27" s="4">
        <f>COUNTIF($I$19:$I$69,"&gt;"&amp;I27)+COUNTIF($I$19:I27,I27)</f>
        <v>51</v>
      </c>
      <c r="M27" s="4">
        <f>COUNTIF($E$19:$E$69,"&gt;"&amp;E27)+COUNTIF($E$19:E27,E27)</f>
        <v>47</v>
      </c>
      <c r="N27" s="4">
        <f>COUNTIF($H$19:$H$69,"&gt;"&amp;H27)+COUNTIF($H$19:H27,H27)</f>
        <v>4</v>
      </c>
      <c r="O27" s="8">
        <f t="shared" si="7"/>
        <v>0.91168831168831166</v>
      </c>
      <c r="P27" s="4">
        <f>COUNTIF($O$19:$O$69,"&lt;"&amp;O27)+COUNTIF($O$19:O27,O27)</f>
        <v>21</v>
      </c>
      <c r="Q27" s="4"/>
      <c r="R27" s="13" t="str">
        <f>INDEX($A$19:$A$69,MATCH(9,$K$19:$K$69,0))</f>
        <v>Oregon</v>
      </c>
      <c r="S27" s="8">
        <f>INDEX($G$19:$G$69,MATCH(9,$K$19:$K$69,0))</f>
        <v>0.90939597315436238</v>
      </c>
      <c r="T27" s="4"/>
      <c r="U27" s="13" t="str">
        <f>INDEX($A$19:$A$69,MATCH(9,$L$19:$L$69,0))</f>
        <v>Michigan</v>
      </c>
      <c r="V27" s="7">
        <f>INDEX($I$19:$I$69,MATCH(9,$L$19:$L$69,0))</f>
        <v>1607000</v>
      </c>
      <c r="W27" s="4"/>
      <c r="X27" s="13" t="str">
        <f>INDEX($A$19:$A$69,MATCH(9,$M$19:$M$69,0))</f>
        <v>North Carolina</v>
      </c>
      <c r="Y27" s="7">
        <f>INDEX($E$19:$E$69,MATCH(9,$M$19:$M$69,0))</f>
        <v>4624000</v>
      </c>
      <c r="Z27" s="7">
        <f>INDEX($B$19:$B$69,MATCH(9,$M$19:$M$69,0))</f>
        <v>7263000</v>
      </c>
      <c r="AA27" s="4"/>
      <c r="AB27" s="13" t="str">
        <f>INDEX($A$19:$A$69,MATCH(9,$N$19:$N$69,0))</f>
        <v>Colorado</v>
      </c>
      <c r="AC27" s="8">
        <f>INDEX($H$19:$H$69,MATCH(9,$N$19:$N$69,0))</f>
        <v>0.65365470264605707</v>
      </c>
      <c r="AD27" s="4"/>
      <c r="AE27" s="13" t="str">
        <f>INDEX($A$19:$A$69,MATCH(9,$P$19:$P$69,0))</f>
        <v>Louisiana</v>
      </c>
      <c r="AF27" s="8">
        <f>INDEX($F$19:$F$69,MATCH(9,$P$19:$P$69,0))</f>
        <v>0.77122568694041371</v>
      </c>
      <c r="AG27" s="8">
        <f>INDEX($G$19:$G$69,MATCH(9,$P$19:$P$69,0))</f>
        <v>0.86028823058446757</v>
      </c>
    </row>
    <row r="28" spans="1:33" x14ac:dyDescent="0.3">
      <c r="A28" s="4" t="s">
        <v>55</v>
      </c>
      <c r="B28" s="7">
        <f>SUMIFS('U.S. Voters (2012)'!$C$2:$C$256,'U.S. Voters (2012)'!$A$2:$A$256,$A28)</f>
        <v>15033000</v>
      </c>
      <c r="C28" s="7">
        <f>SUMIFS('U.S. Voters (2012)'!$D$2:$D$256,'U.S. Voters (2012)'!$A$2:$A$256,$A28)</f>
        <v>13326000</v>
      </c>
      <c r="D28" s="7">
        <f>SUMIFS('U.S. Voters (2012)'!$E$2:$E$256,'U.S. Voters (2012)'!$A$2:$A$256,$A28)</f>
        <v>9102000</v>
      </c>
      <c r="E28" s="7">
        <f>SUMIFS('U.S. Voters (2012)'!$F$2:$F$256,'U.S. Voters (2012)'!$A$2:$A$256,$A28)</f>
        <v>8107000</v>
      </c>
      <c r="F28" s="8">
        <f t="shared" si="2"/>
        <v>0.68302566411526344</v>
      </c>
      <c r="G28" s="8">
        <f t="shared" si="3"/>
        <v>0.89068336629312239</v>
      </c>
      <c r="H28" s="8">
        <f t="shared" si="4"/>
        <v>0.53928025011641056</v>
      </c>
      <c r="I28" s="7">
        <f t="shared" si="5"/>
        <v>4224000</v>
      </c>
      <c r="J28" s="8">
        <f t="shared" si="6"/>
        <v>0.31697433588473661</v>
      </c>
      <c r="K28" s="4">
        <f>COUNTIF($G$19:$G$69,"&gt;"&amp;G28)+COUNTIF($G$19:G28,G28)</f>
        <v>19</v>
      </c>
      <c r="L28" s="4">
        <f>COUNTIF($I$19:$I$69,"&gt;"&amp;I28)+COUNTIF($I$19:I28,I28)</f>
        <v>3</v>
      </c>
      <c r="M28" s="4">
        <f>COUNTIF($E$19:$E$69,"&gt;"&amp;E28)+COUNTIF($E$19:E28,E28)</f>
        <v>3</v>
      </c>
      <c r="N28" s="4">
        <f>COUNTIF($H$19:$H$69,"&gt;"&amp;H28)+COUNTIF($H$19:H28,H28)</f>
        <v>40</v>
      </c>
      <c r="O28" s="8">
        <f t="shared" si="7"/>
        <v>2</v>
      </c>
      <c r="P28" s="4">
        <f>COUNTIF($O$19:$O$69,"&lt;"&amp;O28)+COUNTIF($O$19:O28,O28)</f>
        <v>32</v>
      </c>
      <c r="Q28" s="4"/>
      <c r="R28" s="13" t="str">
        <f>INDEX($A$19:$A$69,MATCH(10,$K$19:$K$69,0))</f>
        <v>Maryland</v>
      </c>
      <c r="S28" s="8">
        <f>INDEX($G$19:$G$69,MATCH(10,$K$19:$K$69,0))</f>
        <v>0.90373961218836563</v>
      </c>
      <c r="T28" s="4"/>
      <c r="U28" s="13" t="str">
        <f>INDEX($A$19:$A$69,MATCH(10,$L$19:$L$69,0))</f>
        <v>New Jersey</v>
      </c>
      <c r="V28" s="7">
        <f>INDEX($I$19:$I$69,MATCH(10,$L$19:$L$69,0))</f>
        <v>1603000</v>
      </c>
      <c r="W28" s="4"/>
      <c r="X28" s="13" t="str">
        <f>INDEX($A$19:$A$69,MATCH(10,$M$19:$M$69,0))</f>
        <v>Georgia</v>
      </c>
      <c r="Y28" s="7">
        <f>INDEX($E$19:$E$69,MATCH(10,$M$19:$M$69,0))</f>
        <v>4168000</v>
      </c>
      <c r="Z28" s="7">
        <f>INDEX($B$19:$B$69,MATCH(10,$M$19:$M$69,0))</f>
        <v>7178000</v>
      </c>
      <c r="AA28" s="4"/>
      <c r="AB28" s="13" t="str">
        <f>INDEX($A$19:$A$69,MATCH(10,$N$19:$N$69,0))</f>
        <v>Louisiana</v>
      </c>
      <c r="AC28" s="8">
        <f>INDEX($H$19:$H$69,MATCH(10,$N$19:$N$69,0))</f>
        <v>0.64728915662650599</v>
      </c>
      <c r="AD28" s="4"/>
      <c r="AE28" s="13" t="str">
        <f>INDEX($A$19:$A$69,MATCH(10,$P$19:$P$69,0))</f>
        <v>Vermont</v>
      </c>
      <c r="AF28" s="8">
        <f>INDEX($F$19:$F$69,MATCH(10,$P$19:$P$69,0))</f>
        <v>0.731006160164271</v>
      </c>
      <c r="AG28" s="8">
        <f>INDEX($G$19:$G$69,MATCH(10,$P$19:$P$69,0))</f>
        <v>0.86235955056179781</v>
      </c>
    </row>
    <row r="29" spans="1:33" x14ac:dyDescent="0.3">
      <c r="A29" s="4" t="s">
        <v>56</v>
      </c>
      <c r="B29" s="7">
        <f>SUMIFS('U.S. Voters (2012)'!$C$2:$C$256,'U.S. Voters (2012)'!$A$2:$A$256,$A29)</f>
        <v>7178000</v>
      </c>
      <c r="C29" s="7">
        <f>SUMIFS('U.S. Voters (2012)'!$D$2:$D$256,'U.S. Voters (2012)'!$A$2:$A$256,$A29)</f>
        <v>6738000</v>
      </c>
      <c r="D29" s="7">
        <f>SUMIFS('U.S. Voters (2012)'!$E$2:$E$256,'U.S. Voters (2012)'!$A$2:$A$256,$A29)</f>
        <v>4766000</v>
      </c>
      <c r="E29" s="7">
        <f>SUMIFS('U.S. Voters (2012)'!$F$2:$F$256,'U.S. Voters (2012)'!$A$2:$A$256,$A29)</f>
        <v>4168000</v>
      </c>
      <c r="F29" s="8">
        <f t="shared" si="2"/>
        <v>0.70733155238943302</v>
      </c>
      <c r="G29" s="8">
        <f t="shared" si="3"/>
        <v>0.87452790600083929</v>
      </c>
      <c r="H29" s="8">
        <f t="shared" si="4"/>
        <v>0.5806631373641683</v>
      </c>
      <c r="I29" s="7">
        <f t="shared" si="5"/>
        <v>1972000</v>
      </c>
      <c r="J29" s="8">
        <f t="shared" si="6"/>
        <v>0.29266844761056693</v>
      </c>
      <c r="K29" s="4">
        <f>COUNTIF($G$19:$G$69,"&gt;"&amp;G29)+COUNTIF($G$19:G29,G29)</f>
        <v>28</v>
      </c>
      <c r="L29" s="4">
        <f>COUNTIF($I$19:$I$69,"&gt;"&amp;I29)+COUNTIF($I$19:I29,I29)</f>
        <v>8</v>
      </c>
      <c r="M29" s="4">
        <f>COUNTIF($E$19:$E$69,"&gt;"&amp;E29)+COUNTIF($E$19:E29,E29)</f>
        <v>10</v>
      </c>
      <c r="N29" s="4">
        <f>COUNTIF($H$19:$H$69,"&gt;"&amp;H29)+COUNTIF($H$19:H29,H29)</f>
        <v>30</v>
      </c>
      <c r="O29" s="8">
        <f t="shared" si="7"/>
        <v>2</v>
      </c>
      <c r="P29" s="4">
        <f>COUNTIF($O$19:$O$69,"&lt;"&amp;O29)+COUNTIF($O$19:O29,O29)</f>
        <v>33</v>
      </c>
      <c r="Q29" s="4"/>
      <c r="R29" s="4"/>
      <c r="S29" s="4"/>
      <c r="T29" s="4"/>
      <c r="U29" s="4"/>
      <c r="V29" s="4"/>
      <c r="W29" s="4"/>
      <c r="X29" s="4"/>
      <c r="Y29" s="4"/>
      <c r="Z29" s="4"/>
      <c r="AA29" s="4"/>
      <c r="AB29" s="4"/>
      <c r="AC29" s="4"/>
      <c r="AD29" s="4"/>
      <c r="AE29" s="4"/>
      <c r="AF29" s="4"/>
      <c r="AG29" s="4"/>
    </row>
    <row r="30" spans="1:33" x14ac:dyDescent="0.3">
      <c r="A30" s="4" t="s">
        <v>57</v>
      </c>
      <c r="B30" s="7">
        <f>SUMIFS('U.S. Voters (2012)'!$C$2:$C$256,'U.S. Voters (2012)'!$A$2:$A$256,$A30)</f>
        <v>1012000</v>
      </c>
      <c r="C30" s="7">
        <f>SUMIFS('U.S. Voters (2012)'!$D$2:$D$256,'U.S. Voters (2012)'!$A$2:$A$256,$A30)</f>
        <v>930000</v>
      </c>
      <c r="D30" s="7">
        <f>SUMIFS('U.S. Voters (2012)'!$E$2:$E$256,'U.S. Voters (2012)'!$A$2:$A$256,$A30)</f>
        <v>547000</v>
      </c>
      <c r="E30" s="7">
        <f>SUMIFS('U.S. Voters (2012)'!$F$2:$F$256,'U.S. Voters (2012)'!$A$2:$A$256,$A30)</f>
        <v>481000</v>
      </c>
      <c r="F30" s="8">
        <f t="shared" si="2"/>
        <v>0.58817204301075265</v>
      </c>
      <c r="G30" s="8">
        <f t="shared" si="3"/>
        <v>0.87934186471663622</v>
      </c>
      <c r="H30" s="8">
        <f t="shared" si="4"/>
        <v>0.47529644268774701</v>
      </c>
      <c r="I30" s="7">
        <f t="shared" si="5"/>
        <v>383000</v>
      </c>
      <c r="J30" s="8">
        <f t="shared" si="6"/>
        <v>0.41182795698924729</v>
      </c>
      <c r="K30" s="4">
        <f>COUNTIF($G$19:$G$69,"&gt;"&amp;G30)+COUNTIF($G$19:G30,G30)</f>
        <v>26</v>
      </c>
      <c r="L30" s="4">
        <f>COUNTIF($I$19:$I$69,"&gt;"&amp;I30)+COUNTIF($I$19:I30,I30)</f>
        <v>38</v>
      </c>
      <c r="M30" s="4">
        <f>COUNTIF($E$19:$E$69,"&gt;"&amp;E30)+COUNTIF($E$19:E30,E30)</f>
        <v>43</v>
      </c>
      <c r="N30" s="4">
        <f>COUNTIF($H$19:$H$69,"&gt;"&amp;H30)+COUNTIF($H$19:H30,H30)</f>
        <v>48</v>
      </c>
      <c r="O30" s="8">
        <f t="shared" si="7"/>
        <v>2</v>
      </c>
      <c r="P30" s="4">
        <f>COUNTIF($O$19:$O$69,"&lt;"&amp;O30)+COUNTIF($O$19:O30,O30)</f>
        <v>34</v>
      </c>
      <c r="Q30" s="4"/>
      <c r="R30" s="4"/>
      <c r="S30" s="4"/>
      <c r="T30" s="4"/>
      <c r="U30" s="4"/>
      <c r="V30" s="4"/>
      <c r="W30" s="4"/>
      <c r="X30" s="4"/>
      <c r="Y30" s="4"/>
      <c r="Z30" s="4"/>
      <c r="AA30" s="4"/>
      <c r="AB30" s="4"/>
      <c r="AC30" s="4"/>
      <c r="AD30" s="4"/>
      <c r="AE30" s="4"/>
      <c r="AF30" s="4"/>
      <c r="AG30" s="4"/>
    </row>
    <row r="31" spans="1:33" x14ac:dyDescent="0.3">
      <c r="A31" s="4" t="s">
        <v>58</v>
      </c>
      <c r="B31" s="7">
        <f>SUMIFS('U.S. Voters (2012)'!$C$2:$C$256,'U.S. Voters (2012)'!$A$2:$A$256,$A31)</f>
        <v>1129000</v>
      </c>
      <c r="C31" s="7">
        <f>SUMIFS('U.S. Voters (2012)'!$D$2:$D$256,'U.S. Voters (2012)'!$A$2:$A$256,$A31)</f>
        <v>1064000</v>
      </c>
      <c r="D31" s="7">
        <f>SUMIFS('U.S. Voters (2012)'!$E$2:$E$256,'U.S. Voters (2012)'!$A$2:$A$256,$A31)</f>
        <v>744000</v>
      </c>
      <c r="E31" s="7">
        <f>SUMIFS('U.S. Voters (2012)'!$F$2:$F$256,'U.S. Voters (2012)'!$A$2:$A$256,$A31)</f>
        <v>680000</v>
      </c>
      <c r="F31" s="8">
        <f t="shared" si="2"/>
        <v>0.6992481203007519</v>
      </c>
      <c r="G31" s="8">
        <f t="shared" si="3"/>
        <v>0.91397849462365588</v>
      </c>
      <c r="H31" s="8">
        <f t="shared" si="4"/>
        <v>0.60230292294065546</v>
      </c>
      <c r="I31" s="7">
        <f t="shared" si="5"/>
        <v>320000</v>
      </c>
      <c r="J31" s="8">
        <f t="shared" si="6"/>
        <v>0.3007518796992481</v>
      </c>
      <c r="K31" s="4">
        <f>COUNTIF($G$19:$G$69,"&gt;"&amp;G31)+COUNTIF($G$19:G31,G31)</f>
        <v>7</v>
      </c>
      <c r="L31" s="4">
        <f>COUNTIF($I$19:$I$69,"&gt;"&amp;I31)+COUNTIF($I$19:I31,I31)</f>
        <v>40</v>
      </c>
      <c r="M31" s="4">
        <f>COUNTIF($E$19:$E$69,"&gt;"&amp;E31)+COUNTIF($E$19:E31,E31)</f>
        <v>41</v>
      </c>
      <c r="N31" s="4">
        <f>COUNTIF($H$19:$H$69,"&gt;"&amp;H31)+COUNTIF($H$19:H31,H31)</f>
        <v>23</v>
      </c>
      <c r="O31" s="8">
        <f t="shared" si="7"/>
        <v>2</v>
      </c>
      <c r="P31" s="4">
        <f>COUNTIF($O$19:$O$69,"&lt;"&amp;O31)+COUNTIF($O$19:O31,O31)</f>
        <v>35</v>
      </c>
      <c r="Q31" s="4"/>
      <c r="R31" s="42" t="s">
        <v>117</v>
      </c>
      <c r="S31" t="s">
        <v>119</v>
      </c>
      <c r="T31" t="s">
        <v>120</v>
      </c>
      <c r="U31" t="s">
        <v>121</v>
      </c>
      <c r="V31" s="4"/>
      <c r="W31" s="4"/>
      <c r="X31" s="4"/>
      <c r="Y31" s="4"/>
      <c r="Z31" s="4"/>
      <c r="AA31" s="4"/>
      <c r="AB31" s="4"/>
      <c r="AC31" s="4"/>
      <c r="AD31" s="4"/>
      <c r="AE31" s="4"/>
      <c r="AF31" s="4"/>
      <c r="AG31" s="4"/>
    </row>
    <row r="32" spans="1:33" x14ac:dyDescent="0.3">
      <c r="A32" s="4" t="s">
        <v>59</v>
      </c>
      <c r="B32" s="7">
        <f>SUMIFS('U.S. Voters (2012)'!$C$2:$C$256,'U.S. Voters (2012)'!$A$2:$A$256,$A32)</f>
        <v>9650000</v>
      </c>
      <c r="C32" s="7">
        <f>SUMIFS('U.S. Voters (2012)'!$D$2:$D$256,'U.S. Voters (2012)'!$A$2:$A$256,$A32)</f>
        <v>8831000</v>
      </c>
      <c r="D32" s="7">
        <f>SUMIFS('U.S. Voters (2012)'!$E$2:$E$256,'U.S. Voters (2012)'!$A$2:$A$256,$A32)</f>
        <v>6424000</v>
      </c>
      <c r="E32" s="7">
        <f>SUMIFS('U.S. Voters (2012)'!$F$2:$F$256,'U.S. Voters (2012)'!$A$2:$A$256,$A32)</f>
        <v>5428000</v>
      </c>
      <c r="F32" s="8">
        <f t="shared" si="2"/>
        <v>0.72743743630392932</v>
      </c>
      <c r="G32" s="8">
        <f t="shared" si="3"/>
        <v>0.84495641344956418</v>
      </c>
      <c r="H32" s="8">
        <f t="shared" si="4"/>
        <v>0.56248704663212434</v>
      </c>
      <c r="I32" s="7">
        <f t="shared" si="5"/>
        <v>2407000</v>
      </c>
      <c r="J32" s="8">
        <f t="shared" si="6"/>
        <v>0.27256256369607068</v>
      </c>
      <c r="K32" s="4">
        <f>COUNTIF($G$19:$G$69,"&gt;"&amp;G32)+COUNTIF($G$19:G32,G32)</f>
        <v>41</v>
      </c>
      <c r="L32" s="4">
        <f>COUNTIF($I$19:$I$69,"&gt;"&amp;I32)+COUNTIF($I$19:I32,I32)</f>
        <v>7</v>
      </c>
      <c r="M32" s="4">
        <f>COUNTIF($E$19:$E$69,"&gt;"&amp;E32)+COUNTIF($E$19:E32,E32)</f>
        <v>6</v>
      </c>
      <c r="N32" s="4">
        <f>COUNTIF($H$19:$H$69,"&gt;"&amp;H32)+COUNTIF($H$19:H32,H32)</f>
        <v>37</v>
      </c>
      <c r="O32" s="8">
        <f t="shared" si="7"/>
        <v>2</v>
      </c>
      <c r="P32" s="4">
        <f>COUNTIF($O$19:$O$69,"&lt;"&amp;O32)+COUNTIF($O$19:O32,O32)</f>
        <v>36</v>
      </c>
      <c r="Q32" s="4"/>
      <c r="R32" s="17" t="s">
        <v>21</v>
      </c>
      <c r="S32" s="43">
        <v>0.5362603043178269</v>
      </c>
      <c r="T32" s="43">
        <v>0.7686733933771247</v>
      </c>
      <c r="U32" s="43">
        <v>0.37987349820956462</v>
      </c>
      <c r="V32" s="4"/>
      <c r="W32" s="4"/>
      <c r="X32" s="4"/>
      <c r="Y32" s="4"/>
      <c r="Z32" s="4"/>
      <c r="AA32" s="4"/>
      <c r="AB32" s="4"/>
      <c r="AC32" s="4"/>
      <c r="AD32" s="4"/>
      <c r="AE32" s="4"/>
      <c r="AF32" s="4"/>
      <c r="AG32" s="4"/>
    </row>
    <row r="33" spans="1:33" x14ac:dyDescent="0.3">
      <c r="A33" s="4" t="s">
        <v>60</v>
      </c>
      <c r="B33" s="7">
        <f>SUMIFS('U.S. Voters (2012)'!$C$2:$C$256,'U.S. Voters (2012)'!$A$2:$A$256,$A33)</f>
        <v>4853000</v>
      </c>
      <c r="C33" s="7">
        <f>SUMIFS('U.S. Voters (2012)'!$D$2:$D$256,'U.S. Voters (2012)'!$A$2:$A$256,$A33)</f>
        <v>4724000</v>
      </c>
      <c r="D33" s="7">
        <f>SUMIFS('U.S. Voters (2012)'!$E$2:$E$256,'U.S. Voters (2012)'!$A$2:$A$256,$A33)</f>
        <v>3270000</v>
      </c>
      <c r="E33" s="7">
        <f>SUMIFS('U.S. Voters (2012)'!$F$2:$F$256,'U.S. Voters (2012)'!$A$2:$A$256,$A33)</f>
        <v>2801000</v>
      </c>
      <c r="F33" s="8">
        <f t="shared" si="2"/>
        <v>0.69220999153259954</v>
      </c>
      <c r="G33" s="8">
        <f t="shared" si="3"/>
        <v>0.85657492354740061</v>
      </c>
      <c r="H33" s="8">
        <f t="shared" si="4"/>
        <v>0.57716876159076858</v>
      </c>
      <c r="I33" s="7">
        <f t="shared" si="5"/>
        <v>1454000</v>
      </c>
      <c r="J33" s="8">
        <f t="shared" si="6"/>
        <v>0.30779000846740051</v>
      </c>
      <c r="K33" s="4">
        <f>COUNTIF($G$19:$G$69,"&gt;"&amp;G33)+COUNTIF($G$19:G33,G33)</f>
        <v>36</v>
      </c>
      <c r="L33" s="4">
        <f>COUNTIF($I$19:$I$69,"&gt;"&amp;I33)+COUNTIF($I$19:I33,I33)</f>
        <v>13</v>
      </c>
      <c r="M33" s="4">
        <f>COUNTIF($E$19:$E$69,"&gt;"&amp;E33)+COUNTIF($E$19:E33,E33)</f>
        <v>18</v>
      </c>
      <c r="N33" s="4">
        <f>COUNTIF($H$19:$H$69,"&gt;"&amp;H33)+COUNTIF($H$19:H33,H33)</f>
        <v>32</v>
      </c>
      <c r="O33" s="8">
        <f t="shared" si="7"/>
        <v>2</v>
      </c>
      <c r="P33" s="4">
        <f>COUNTIF($O$19:$O$69,"&lt;"&amp;O33)+COUNTIF($O$19:O33,O33)</f>
        <v>37</v>
      </c>
      <c r="Q33" s="4"/>
      <c r="R33" s="17" t="s">
        <v>22</v>
      </c>
      <c r="S33" s="43">
        <v>0.66065287252635729</v>
      </c>
      <c r="T33" s="43">
        <v>0.80977982590885822</v>
      </c>
      <c r="U33" s="43">
        <v>0.46124681006197593</v>
      </c>
      <c r="V33" s="4"/>
      <c r="W33" s="4"/>
      <c r="X33" s="4"/>
      <c r="Y33" s="4"/>
      <c r="Z33" s="4"/>
      <c r="AA33" s="4"/>
      <c r="AB33" s="4"/>
      <c r="AC33" s="4"/>
      <c r="AD33" s="4"/>
      <c r="AE33" s="4"/>
      <c r="AF33" s="4"/>
      <c r="AG33" s="4"/>
    </row>
    <row r="34" spans="1:33" x14ac:dyDescent="0.3">
      <c r="A34" s="4" t="s">
        <v>61</v>
      </c>
      <c r="B34" s="7">
        <f>SUMIFS('U.S. Voters (2012)'!$C$2:$C$256,'U.S. Voters (2012)'!$A$2:$A$256,$A34)</f>
        <v>2319000</v>
      </c>
      <c r="C34" s="7">
        <f>SUMIFS('U.S. Voters (2012)'!$D$2:$D$256,'U.S. Voters (2012)'!$A$2:$A$256,$A34)</f>
        <v>2232000</v>
      </c>
      <c r="D34" s="7">
        <f>SUMIFS('U.S. Voters (2012)'!$E$2:$E$256,'U.S. Voters (2012)'!$A$2:$A$256,$A34)</f>
        <v>1745000</v>
      </c>
      <c r="E34" s="7">
        <f>SUMIFS('U.S. Voters (2012)'!$F$2:$F$256,'U.S. Voters (2012)'!$A$2:$A$256,$A34)</f>
        <v>1548000</v>
      </c>
      <c r="F34" s="8">
        <f t="shared" si="2"/>
        <v>0.78181003584229392</v>
      </c>
      <c r="G34" s="8">
        <f t="shared" si="3"/>
        <v>0.88710601719197713</v>
      </c>
      <c r="H34" s="8">
        <f t="shared" si="4"/>
        <v>0.66752910737386806</v>
      </c>
      <c r="I34" s="7">
        <f t="shared" si="5"/>
        <v>487000</v>
      </c>
      <c r="J34" s="8">
        <f t="shared" si="6"/>
        <v>0.21818996415770608</v>
      </c>
      <c r="K34" s="4">
        <f>COUNTIF($G$19:$G$69,"&gt;"&amp;G34)+COUNTIF($G$19:G34,G34)</f>
        <v>22</v>
      </c>
      <c r="L34" s="4">
        <f>COUNTIF($I$19:$I$69,"&gt;"&amp;I34)+COUNTIF($I$19:I34,I34)</f>
        <v>34</v>
      </c>
      <c r="M34" s="4">
        <f>COUNTIF($E$19:$E$69,"&gt;"&amp;E34)+COUNTIF($E$19:E34,E34)</f>
        <v>30</v>
      </c>
      <c r="N34" s="4">
        <f>COUNTIF($H$19:$H$69,"&gt;"&amp;H34)+COUNTIF($H$19:H34,H34)</f>
        <v>7</v>
      </c>
      <c r="O34" s="8">
        <f t="shared" si="7"/>
        <v>0.88710601719197713</v>
      </c>
      <c r="P34" s="4">
        <f>COUNTIF($O$19:$O$69,"&lt;"&amp;O34)+COUNTIF($O$19:O34,O34)</f>
        <v>14</v>
      </c>
      <c r="Q34" s="4"/>
      <c r="R34" s="17" t="s">
        <v>23</v>
      </c>
      <c r="S34" s="43">
        <v>0.71376875036479304</v>
      </c>
      <c r="T34" s="43">
        <v>0.85718374356038929</v>
      </c>
      <c r="U34" s="43">
        <v>0.52909852614577024</v>
      </c>
      <c r="V34" s="4"/>
      <c r="W34" s="4"/>
      <c r="X34" s="4"/>
      <c r="Y34" s="4"/>
      <c r="Z34" s="4"/>
      <c r="AA34" s="4"/>
      <c r="AB34" s="4"/>
      <c r="AC34" s="4"/>
      <c r="AD34" s="4"/>
      <c r="AE34" s="4"/>
      <c r="AF34" s="4"/>
      <c r="AG34" s="4"/>
    </row>
    <row r="35" spans="1:33" x14ac:dyDescent="0.3">
      <c r="A35" s="4" t="s">
        <v>62</v>
      </c>
      <c r="B35" s="7">
        <f>SUMIFS('U.S. Voters (2012)'!$C$2:$C$256,'U.S. Voters (2012)'!$A$2:$A$256,$A35)</f>
        <v>2120000</v>
      </c>
      <c r="C35" s="7">
        <f>SUMIFS('U.S. Voters (2012)'!$D$2:$D$256,'U.S. Voters (2012)'!$A$2:$A$256,$A35)</f>
        <v>1974000</v>
      </c>
      <c r="D35" s="7">
        <f>SUMIFS('U.S. Voters (2012)'!$E$2:$E$256,'U.S. Voters (2012)'!$A$2:$A$256,$A35)</f>
        <v>1467000</v>
      </c>
      <c r="E35" s="7">
        <f>SUMIFS('U.S. Voters (2012)'!$F$2:$F$256,'U.S. Voters (2012)'!$A$2:$A$256,$A35)</f>
        <v>1249000</v>
      </c>
      <c r="F35" s="8">
        <f t="shared" si="2"/>
        <v>0.74316109422492405</v>
      </c>
      <c r="G35" s="8">
        <f t="shared" si="3"/>
        <v>0.8513974096796183</v>
      </c>
      <c r="H35" s="8">
        <f t="shared" si="4"/>
        <v>0.58915094339622642</v>
      </c>
      <c r="I35" s="7">
        <f t="shared" si="5"/>
        <v>507000</v>
      </c>
      <c r="J35" s="8">
        <f t="shared" si="6"/>
        <v>0.25683890577507601</v>
      </c>
      <c r="K35" s="4">
        <f>COUNTIF($G$19:$G$69,"&gt;"&amp;G35)+COUNTIF($G$19:G35,G35)</f>
        <v>38</v>
      </c>
      <c r="L35" s="4">
        <f>COUNTIF($I$19:$I$69,"&gt;"&amp;I35)+COUNTIF($I$19:I35,I35)</f>
        <v>33</v>
      </c>
      <c r="M35" s="4">
        <f>COUNTIF($E$19:$E$69,"&gt;"&amp;E35)+COUNTIF($E$19:E35,E35)</f>
        <v>32</v>
      </c>
      <c r="N35" s="4">
        <f>COUNTIF($H$19:$H$69,"&gt;"&amp;H35)+COUNTIF($H$19:H35,H35)</f>
        <v>27</v>
      </c>
      <c r="O35" s="8">
        <f t="shared" si="7"/>
        <v>0.8513974096796183</v>
      </c>
      <c r="P35" s="4">
        <f>COUNTIF($O$19:$O$69,"&lt;"&amp;O35)+COUNTIF($O$19:O35,O35)</f>
        <v>6</v>
      </c>
      <c r="Q35" s="4"/>
      <c r="R35" s="17" t="s">
        <v>24</v>
      </c>
      <c r="S35" s="43">
        <v>0.75412638144074318</v>
      </c>
      <c r="T35" s="43">
        <v>0.89992560167482738</v>
      </c>
      <c r="U35" s="43">
        <v>0.63364804775537553</v>
      </c>
      <c r="V35" s="4"/>
      <c r="W35" s="4"/>
      <c r="X35" s="4"/>
      <c r="Y35" s="4"/>
      <c r="Z35" s="4"/>
      <c r="AA35" s="4"/>
      <c r="AB35" s="4"/>
      <c r="AC35" s="4"/>
      <c r="AD35" s="4"/>
      <c r="AE35" s="4"/>
      <c r="AF35" s="4"/>
      <c r="AG35" s="4"/>
    </row>
    <row r="36" spans="1:33" x14ac:dyDescent="0.3">
      <c r="A36" s="4" t="s">
        <v>63</v>
      </c>
      <c r="B36" s="7">
        <f>SUMIFS('U.S. Voters (2012)'!$C$2:$C$256,'U.S. Voters (2012)'!$A$2:$A$256,$A36)</f>
        <v>3292000</v>
      </c>
      <c r="C36" s="7">
        <f>SUMIFS('U.S. Voters (2012)'!$D$2:$D$256,'U.S. Voters (2012)'!$A$2:$A$256,$A36)</f>
        <v>3193000</v>
      </c>
      <c r="D36" s="7">
        <f>SUMIFS('U.S. Voters (2012)'!$E$2:$E$256,'U.S. Voters (2012)'!$A$2:$A$256,$A36)</f>
        <v>2303000</v>
      </c>
      <c r="E36" s="7">
        <f>SUMIFS('U.S. Voters (2012)'!$F$2:$F$256,'U.S. Voters (2012)'!$A$2:$A$256,$A36)</f>
        <v>1895000</v>
      </c>
      <c r="F36" s="8">
        <f t="shared" si="2"/>
        <v>0.72126526777325395</v>
      </c>
      <c r="G36" s="8">
        <f t="shared" si="3"/>
        <v>0.82283977420755539</v>
      </c>
      <c r="H36" s="8">
        <f t="shared" si="4"/>
        <v>0.57563791008505472</v>
      </c>
      <c r="I36" s="7">
        <f t="shared" si="5"/>
        <v>890000</v>
      </c>
      <c r="J36" s="8">
        <f t="shared" si="6"/>
        <v>0.278734732226746</v>
      </c>
      <c r="K36" s="4">
        <f>COUNTIF($G$19:$G$69,"&gt;"&amp;G36)+COUNTIF($G$19:G36,G36)</f>
        <v>44</v>
      </c>
      <c r="L36" s="4">
        <f>COUNTIF($I$19:$I$69,"&gt;"&amp;I36)+COUNTIF($I$19:I36,I36)</f>
        <v>25</v>
      </c>
      <c r="M36" s="4">
        <f>COUNTIF($E$19:$E$69,"&gt;"&amp;E36)+COUNTIF($E$19:E36,E36)</f>
        <v>27</v>
      </c>
      <c r="N36" s="4">
        <f>COUNTIF($H$19:$H$69,"&gt;"&amp;H36)+COUNTIF($H$19:H36,H36)</f>
        <v>33</v>
      </c>
      <c r="O36" s="8">
        <f t="shared" si="7"/>
        <v>2</v>
      </c>
      <c r="P36" s="4">
        <f>COUNTIF($O$19:$O$69,"&lt;"&amp;O36)+COUNTIF($O$19:O36,O36)</f>
        <v>38</v>
      </c>
      <c r="Q36" s="4"/>
      <c r="R36" s="17" t="s">
        <v>25</v>
      </c>
      <c r="S36" s="43">
        <v>0.79420409551339666</v>
      </c>
      <c r="T36" s="43">
        <v>0.90671356476525466</v>
      </c>
      <c r="U36" s="43">
        <v>0.69729971303570593</v>
      </c>
      <c r="V36" s="4"/>
      <c r="W36" s="4"/>
      <c r="X36" s="4"/>
      <c r="Y36" s="4"/>
      <c r="Z36" s="4"/>
      <c r="AA36" s="4"/>
      <c r="AB36" s="4"/>
      <c r="AC36" s="4"/>
      <c r="AD36" s="4"/>
      <c r="AE36" s="4"/>
      <c r="AF36" s="4"/>
      <c r="AG36" s="4"/>
    </row>
    <row r="37" spans="1:33" x14ac:dyDescent="0.3">
      <c r="A37" s="4" t="s">
        <v>64</v>
      </c>
      <c r="B37" s="7">
        <f>SUMIFS('U.S. Voters (2012)'!$C$2:$C$256,'U.S. Voters (2012)'!$A$2:$A$256,$A37)</f>
        <v>3320000</v>
      </c>
      <c r="C37" s="7">
        <f>SUMIFS('U.S. Voters (2012)'!$D$2:$D$256,'U.S. Voters (2012)'!$A$2:$A$256,$A37)</f>
        <v>3239000</v>
      </c>
      <c r="D37" s="7">
        <f>SUMIFS('U.S. Voters (2012)'!$E$2:$E$256,'U.S. Voters (2012)'!$A$2:$A$256,$A37)</f>
        <v>2498000</v>
      </c>
      <c r="E37" s="7">
        <f>SUMIFS('U.S. Voters (2012)'!$F$2:$F$256,'U.S. Voters (2012)'!$A$2:$A$256,$A37)</f>
        <v>2149000</v>
      </c>
      <c r="F37" s="8">
        <f t="shared" si="2"/>
        <v>0.77122568694041371</v>
      </c>
      <c r="G37" s="8">
        <f t="shared" si="3"/>
        <v>0.86028823058446757</v>
      </c>
      <c r="H37" s="8">
        <f t="shared" si="4"/>
        <v>0.64728915662650599</v>
      </c>
      <c r="I37" s="7">
        <f t="shared" si="5"/>
        <v>741000</v>
      </c>
      <c r="J37" s="8">
        <f t="shared" si="6"/>
        <v>0.22877431305958629</v>
      </c>
      <c r="K37" s="4">
        <f>COUNTIF($G$19:$G$69,"&gt;"&amp;G37)+COUNTIF($G$19:G37,G37)</f>
        <v>32</v>
      </c>
      <c r="L37" s="4">
        <f>COUNTIF($I$19:$I$69,"&gt;"&amp;I37)+COUNTIF($I$19:I37,I37)</f>
        <v>27</v>
      </c>
      <c r="M37" s="4">
        <f>COUNTIF($E$19:$E$69,"&gt;"&amp;E37)+COUNTIF($E$19:E37,E37)</f>
        <v>25</v>
      </c>
      <c r="N37" s="4">
        <f>COUNTIF($H$19:$H$69,"&gt;"&amp;H37)+COUNTIF($H$19:H37,H37)</f>
        <v>10</v>
      </c>
      <c r="O37" s="8">
        <f t="shared" si="7"/>
        <v>0.86028823058446757</v>
      </c>
      <c r="P37" s="4">
        <f>COUNTIF($O$19:$O$69,"&lt;"&amp;O37)+COUNTIF($O$19:O37,O37)</f>
        <v>9</v>
      </c>
      <c r="Q37" s="4"/>
      <c r="R37" s="17" t="s">
        <v>26</v>
      </c>
      <c r="S37" s="43">
        <v>0.71205802357207615</v>
      </c>
      <c r="T37" s="43">
        <v>0.8680992210403975</v>
      </c>
      <c r="U37" s="43">
        <v>0.56515436835013111</v>
      </c>
      <c r="V37" s="4"/>
      <c r="W37" s="4"/>
      <c r="X37" s="4"/>
      <c r="Y37" s="4"/>
      <c r="Z37" s="4"/>
      <c r="AA37" s="4"/>
      <c r="AB37" s="4"/>
      <c r="AC37" s="4"/>
      <c r="AD37" s="4"/>
      <c r="AE37" s="4"/>
      <c r="AF37" s="4"/>
      <c r="AG37" s="4"/>
    </row>
    <row r="38" spans="1:33" x14ac:dyDescent="0.3">
      <c r="A38" s="4" t="s">
        <v>65</v>
      </c>
      <c r="B38" s="7">
        <f>SUMIFS('U.S. Voters (2012)'!$C$2:$C$256,'U.S. Voters (2012)'!$A$2:$A$256,$A38)</f>
        <v>1041000</v>
      </c>
      <c r="C38" s="7">
        <f>SUMIFS('U.S. Voters (2012)'!$D$2:$D$256,'U.S. Voters (2012)'!$A$2:$A$256,$A38)</f>
        <v>1020000</v>
      </c>
      <c r="D38" s="7">
        <f>SUMIFS('U.S. Voters (2012)'!$E$2:$E$256,'U.S. Voters (2012)'!$A$2:$A$256,$A38)</f>
        <v>787000</v>
      </c>
      <c r="E38" s="7">
        <f>SUMIFS('U.S. Voters (2012)'!$F$2:$F$256,'U.S. Voters (2012)'!$A$2:$A$256,$A38)</f>
        <v>699000</v>
      </c>
      <c r="F38" s="8">
        <f t="shared" si="2"/>
        <v>0.77156862745098043</v>
      </c>
      <c r="G38" s="8">
        <f t="shared" si="3"/>
        <v>0.8881829733163914</v>
      </c>
      <c r="H38" s="8">
        <f t="shared" si="4"/>
        <v>0.67146974063400577</v>
      </c>
      <c r="I38" s="7">
        <f t="shared" si="5"/>
        <v>233000</v>
      </c>
      <c r="J38" s="8">
        <f t="shared" si="6"/>
        <v>0.2284313725490196</v>
      </c>
      <c r="K38" s="4">
        <f>COUNTIF($G$19:$G$69,"&gt;"&amp;G38)+COUNTIF($G$19:G38,G38)</f>
        <v>20</v>
      </c>
      <c r="L38" s="4">
        <f>COUNTIF($I$19:$I$69,"&gt;"&amp;I38)+COUNTIF($I$19:I38,I38)</f>
        <v>42</v>
      </c>
      <c r="M38" s="4">
        <f>COUNTIF($E$19:$E$69,"&gt;"&amp;E38)+COUNTIF($E$19:E38,E38)</f>
        <v>38</v>
      </c>
      <c r="N38" s="4">
        <f>COUNTIF($H$19:$H$69,"&gt;"&amp;H38)+COUNTIF($H$19:H38,H38)</f>
        <v>5</v>
      </c>
      <c r="O38" s="8">
        <f t="shared" si="7"/>
        <v>0.8881829733163914</v>
      </c>
      <c r="P38" s="4">
        <f>COUNTIF($O$19:$O$69,"&lt;"&amp;O38)+COUNTIF($O$19:O38,O38)</f>
        <v>15</v>
      </c>
      <c r="Q38" s="4"/>
      <c r="R38" s="17" t="s">
        <v>118</v>
      </c>
      <c r="S38" s="43">
        <v>4.1710704277351933</v>
      </c>
      <c r="T38" s="43">
        <v>5.1103753503268514</v>
      </c>
      <c r="U38" s="43">
        <v>3.2663209635585235</v>
      </c>
      <c r="V38" s="4"/>
      <c r="W38" s="4"/>
      <c r="X38" s="4"/>
      <c r="Y38" s="4"/>
      <c r="Z38" s="4"/>
      <c r="AA38" s="4"/>
      <c r="AB38" s="4"/>
      <c r="AC38" s="4"/>
      <c r="AD38" s="4"/>
      <c r="AE38" s="4"/>
      <c r="AF38" s="4"/>
      <c r="AG38" s="4"/>
    </row>
    <row r="39" spans="1:33" x14ac:dyDescent="0.3">
      <c r="A39" s="4" t="s">
        <v>66</v>
      </c>
      <c r="B39" s="7">
        <f>SUMIFS('U.S. Voters (2012)'!$C$2:$C$256,'U.S. Voters (2012)'!$A$2:$A$256,$A39)</f>
        <v>4449000</v>
      </c>
      <c r="C39" s="7">
        <f>SUMIFS('U.S. Voters (2012)'!$D$2:$D$256,'U.S. Voters (2012)'!$A$2:$A$256,$A39)</f>
        <v>4006000</v>
      </c>
      <c r="D39" s="7">
        <f>SUMIFS('U.S. Voters (2012)'!$E$2:$E$256,'U.S. Voters (2012)'!$A$2:$A$256,$A39)</f>
        <v>2888000</v>
      </c>
      <c r="E39" s="7">
        <f>SUMIFS('U.S. Voters (2012)'!$F$2:$F$256,'U.S. Voters (2012)'!$A$2:$A$256,$A39)</f>
        <v>2610000</v>
      </c>
      <c r="F39" s="8">
        <f t="shared" si="2"/>
        <v>0.72091862206689961</v>
      </c>
      <c r="G39" s="8">
        <f t="shared" si="3"/>
        <v>0.90373961218836563</v>
      </c>
      <c r="H39" s="8">
        <f t="shared" si="4"/>
        <v>0.58664868509777479</v>
      </c>
      <c r="I39" s="7">
        <f t="shared" si="5"/>
        <v>1118000</v>
      </c>
      <c r="J39" s="8">
        <f t="shared" si="6"/>
        <v>0.27908137793310034</v>
      </c>
      <c r="K39" s="4">
        <f>COUNTIF($G$19:$G$69,"&gt;"&amp;G39)+COUNTIF($G$19:G39,G39)</f>
        <v>10</v>
      </c>
      <c r="L39" s="4">
        <f>COUNTIF($I$19:$I$69,"&gt;"&amp;I39)+COUNTIF($I$19:I39,I39)</f>
        <v>17</v>
      </c>
      <c r="M39" s="4">
        <f>COUNTIF($E$19:$E$69,"&gt;"&amp;E39)+COUNTIF($E$19:E39,E39)</f>
        <v>19</v>
      </c>
      <c r="N39" s="4">
        <f>COUNTIF($H$19:$H$69,"&gt;"&amp;H39)+COUNTIF($H$19:H39,H39)</f>
        <v>28</v>
      </c>
      <c r="O39" s="8">
        <f t="shared" si="7"/>
        <v>2</v>
      </c>
      <c r="P39" s="4">
        <f>COUNTIF($O$19:$O$69,"&lt;"&amp;O39)+COUNTIF($O$19:O39,O39)</f>
        <v>39</v>
      </c>
      <c r="Q39" s="4"/>
      <c r="U39" s="4"/>
      <c r="V39" s="4"/>
      <c r="W39" s="4"/>
      <c r="X39" s="4"/>
      <c r="Y39" s="4"/>
      <c r="Z39" s="4"/>
      <c r="AA39" s="4"/>
      <c r="AB39" s="4"/>
      <c r="AC39" s="4"/>
      <c r="AD39" s="4"/>
      <c r="AE39" s="4"/>
      <c r="AF39" s="4"/>
      <c r="AG39" s="4"/>
    </row>
    <row r="40" spans="1:33" x14ac:dyDescent="0.3">
      <c r="A40" s="4" t="s">
        <v>67</v>
      </c>
      <c r="B40" s="7">
        <f>SUMIFS('U.S. Voters (2012)'!$C$2:$C$256,'U.S. Voters (2012)'!$A$2:$A$256,$A40)</f>
        <v>5170000</v>
      </c>
      <c r="C40" s="7">
        <f>SUMIFS('U.S. Voters (2012)'!$D$2:$D$256,'U.S. Voters (2012)'!$A$2:$A$256,$A40)</f>
        <v>4773000</v>
      </c>
      <c r="D40" s="7">
        <f>SUMIFS('U.S. Voters (2012)'!$E$2:$E$256,'U.S. Voters (2012)'!$A$2:$A$256,$A40)</f>
        <v>3758000</v>
      </c>
      <c r="E40" s="7">
        <f>SUMIFS('U.S. Voters (2012)'!$F$2:$F$256,'U.S. Voters (2012)'!$A$2:$A$256,$A40)</f>
        <v>3382000</v>
      </c>
      <c r="F40" s="8">
        <f t="shared" si="2"/>
        <v>0.78734548501990365</v>
      </c>
      <c r="G40" s="8">
        <f t="shared" si="3"/>
        <v>0.89994678020223529</v>
      </c>
      <c r="H40" s="8">
        <f t="shared" si="4"/>
        <v>0.65415860735009668</v>
      </c>
      <c r="I40" s="7">
        <f t="shared" si="5"/>
        <v>1015000</v>
      </c>
      <c r="J40" s="8">
        <f t="shared" si="6"/>
        <v>0.21265451498009638</v>
      </c>
      <c r="K40" s="4">
        <f>COUNTIF($G$19:$G$69,"&gt;"&amp;G40)+COUNTIF($G$19:G40,G40)</f>
        <v>11</v>
      </c>
      <c r="L40" s="4">
        <f>COUNTIF($I$19:$I$69,"&gt;"&amp;I40)+COUNTIF($I$19:I40,I40)</f>
        <v>19</v>
      </c>
      <c r="M40" s="4">
        <f>COUNTIF($E$19:$E$69,"&gt;"&amp;E40)+COUNTIF($E$19:E40,E40)</f>
        <v>13</v>
      </c>
      <c r="N40" s="4">
        <f>COUNTIF($H$19:$H$69,"&gt;"&amp;H40)+COUNTIF($H$19:H40,H40)</f>
        <v>8</v>
      </c>
      <c r="O40" s="8">
        <f t="shared" si="7"/>
        <v>0.89994678020223529</v>
      </c>
      <c r="P40" s="4">
        <f>COUNTIF($O$19:$O$69,"&lt;"&amp;O40)+COUNTIF($O$19:O40,O40)</f>
        <v>19</v>
      </c>
      <c r="Q40" s="4"/>
      <c r="U40" s="4"/>
      <c r="V40" s="4"/>
      <c r="W40" s="4"/>
      <c r="X40" s="4"/>
      <c r="Y40" s="4"/>
      <c r="Z40" s="4"/>
      <c r="AA40" s="4"/>
      <c r="AB40" s="4"/>
      <c r="AC40" s="4"/>
      <c r="AD40" s="4"/>
      <c r="AE40" s="4"/>
      <c r="AF40" s="4"/>
      <c r="AG40" s="4"/>
    </row>
    <row r="41" spans="1:33" x14ac:dyDescent="0.3">
      <c r="A41" s="4" t="s">
        <v>68</v>
      </c>
      <c r="B41" s="7">
        <f>SUMIFS('U.S. Voters (2012)'!$C$2:$C$256,'U.S. Voters (2012)'!$A$2:$A$256,$A41)</f>
        <v>7496000</v>
      </c>
      <c r="C41" s="7">
        <f>SUMIFS('U.S. Voters (2012)'!$D$2:$D$256,'U.S. Voters (2012)'!$A$2:$A$256,$A41)</f>
        <v>7228000</v>
      </c>
      <c r="D41" s="7">
        <f>SUMIFS('U.S. Voters (2012)'!$E$2:$E$256,'U.S. Voters (2012)'!$A$2:$A$256,$A41)</f>
        <v>5621000</v>
      </c>
      <c r="E41" s="7">
        <f>SUMIFS('U.S. Voters (2012)'!$F$2:$F$256,'U.S. Voters (2012)'!$A$2:$A$256,$A41)</f>
        <v>4831000</v>
      </c>
      <c r="F41" s="8">
        <f t="shared" si="2"/>
        <v>0.77767017155506368</v>
      </c>
      <c r="G41" s="8">
        <f t="shared" si="3"/>
        <v>0.85945561288027039</v>
      </c>
      <c r="H41" s="8">
        <f t="shared" si="4"/>
        <v>0.64447705442902881</v>
      </c>
      <c r="I41" s="7">
        <f t="shared" si="5"/>
        <v>1607000</v>
      </c>
      <c r="J41" s="8">
        <f t="shared" si="6"/>
        <v>0.22232982844493634</v>
      </c>
      <c r="K41" s="4">
        <f>COUNTIF($G$19:$G$69,"&gt;"&amp;G41)+COUNTIF($G$19:G41,G41)</f>
        <v>33</v>
      </c>
      <c r="L41" s="4">
        <f>COUNTIF($I$19:$I$69,"&gt;"&amp;I41)+COUNTIF($I$19:I41,I41)</f>
        <v>9</v>
      </c>
      <c r="M41" s="4">
        <f>COUNTIF($E$19:$E$69,"&gt;"&amp;E41)+COUNTIF($E$19:E41,E41)</f>
        <v>8</v>
      </c>
      <c r="N41" s="4">
        <f>COUNTIF($H$19:$H$69,"&gt;"&amp;H41)+COUNTIF($H$19:H41,H41)</f>
        <v>11</v>
      </c>
      <c r="O41" s="8">
        <f t="shared" si="7"/>
        <v>0.85945561288027039</v>
      </c>
      <c r="P41" s="4">
        <f>COUNTIF($O$19:$O$69,"&lt;"&amp;O41)+COUNTIF($O$19:O41,O41)</f>
        <v>8</v>
      </c>
      <c r="Q41" s="4"/>
      <c r="U41" s="4"/>
      <c r="V41" s="4"/>
      <c r="W41" s="4"/>
      <c r="X41" s="4"/>
      <c r="Y41" s="4"/>
      <c r="Z41" s="4"/>
      <c r="AA41" s="4"/>
      <c r="AB41" s="4"/>
      <c r="AC41" s="4"/>
      <c r="AD41" s="4"/>
      <c r="AE41" s="4"/>
      <c r="AF41" s="4"/>
      <c r="AG41" s="4"/>
    </row>
    <row r="42" spans="1:33" x14ac:dyDescent="0.3">
      <c r="A42" s="4" t="s">
        <v>69</v>
      </c>
      <c r="B42" s="7">
        <f>SUMIFS('U.S. Voters (2012)'!$C$2:$C$256,'U.S. Voters (2012)'!$A$2:$A$256,$A42)</f>
        <v>4054000</v>
      </c>
      <c r="C42" s="7">
        <f>SUMIFS('U.S. Voters (2012)'!$D$2:$D$256,'U.S. Voters (2012)'!$A$2:$A$256,$A42)</f>
        <v>3903000</v>
      </c>
      <c r="D42" s="7">
        <f>SUMIFS('U.S. Voters (2012)'!$E$2:$E$256,'U.S. Voters (2012)'!$A$2:$A$256,$A42)</f>
        <v>3085000</v>
      </c>
      <c r="E42" s="7">
        <f>SUMIFS('U.S. Voters (2012)'!$F$2:$F$256,'U.S. Voters (2012)'!$A$2:$A$256,$A42)</f>
        <v>2859000</v>
      </c>
      <c r="F42" s="8">
        <f t="shared" si="2"/>
        <v>0.79041762746605171</v>
      </c>
      <c r="G42" s="8">
        <f t="shared" si="3"/>
        <v>0.92674230145867098</v>
      </c>
      <c r="H42" s="8">
        <f t="shared" si="4"/>
        <v>0.7052294030587074</v>
      </c>
      <c r="I42" s="7">
        <f t="shared" si="5"/>
        <v>818000</v>
      </c>
      <c r="J42" s="8">
        <f t="shared" si="6"/>
        <v>0.20958237253394824</v>
      </c>
      <c r="K42" s="4">
        <f>COUNTIF($G$19:$G$69,"&gt;"&amp;G42)+COUNTIF($G$19:G42,G42)</f>
        <v>3</v>
      </c>
      <c r="L42" s="4">
        <f>COUNTIF($I$19:$I$69,"&gt;"&amp;I42)+COUNTIF($I$19:I42,I42)</f>
        <v>26</v>
      </c>
      <c r="M42" s="4">
        <f>COUNTIF($E$19:$E$69,"&gt;"&amp;E42)+COUNTIF($E$19:E42,E42)</f>
        <v>16</v>
      </c>
      <c r="N42" s="4">
        <f>COUNTIF($H$19:$H$69,"&gt;"&amp;H42)+COUNTIF($H$19:H42,H42)</f>
        <v>3</v>
      </c>
      <c r="O42" s="8">
        <f t="shared" si="7"/>
        <v>0.92674230145867098</v>
      </c>
      <c r="P42" s="4">
        <f>COUNTIF($O$19:$O$69,"&lt;"&amp;O42)+COUNTIF($O$19:O42,O42)</f>
        <v>24</v>
      </c>
      <c r="Q42" s="4"/>
      <c r="U42" s="4"/>
      <c r="V42" s="4"/>
      <c r="W42" s="4"/>
      <c r="X42" s="4"/>
      <c r="Y42" s="4"/>
      <c r="Z42" s="4"/>
      <c r="AA42" s="4"/>
      <c r="AB42" s="4"/>
      <c r="AC42" s="4"/>
      <c r="AD42" s="4"/>
      <c r="AE42" s="4"/>
      <c r="AF42" s="4"/>
      <c r="AG42" s="4"/>
    </row>
    <row r="43" spans="1:33" x14ac:dyDescent="0.3">
      <c r="A43" s="4" t="s">
        <v>70</v>
      </c>
      <c r="B43" s="7">
        <f>SUMIFS('U.S. Voters (2012)'!$C$2:$C$256,'U.S. Voters (2012)'!$A$2:$A$256,$A43)</f>
        <v>2167000</v>
      </c>
      <c r="C43" s="7">
        <f>SUMIFS('U.S. Voters (2012)'!$D$2:$D$256,'U.S. Voters (2012)'!$A$2:$A$256,$A43)</f>
        <v>2130000</v>
      </c>
      <c r="D43" s="7">
        <f>SUMIFS('U.S. Voters (2012)'!$E$2:$E$256,'U.S. Voters (2012)'!$A$2:$A$256,$A43)</f>
        <v>1795000</v>
      </c>
      <c r="E43" s="7">
        <f>SUMIFS('U.S. Voters (2012)'!$F$2:$F$256,'U.S. Voters (2012)'!$A$2:$A$256,$A43)</f>
        <v>1588000</v>
      </c>
      <c r="F43" s="8">
        <f t="shared" si="2"/>
        <v>0.84272300469483563</v>
      </c>
      <c r="G43" s="8">
        <f t="shared" si="3"/>
        <v>0.88467966573816159</v>
      </c>
      <c r="H43" s="8">
        <f t="shared" si="4"/>
        <v>0.73281033687125052</v>
      </c>
      <c r="I43" s="7">
        <f t="shared" si="5"/>
        <v>335000</v>
      </c>
      <c r="J43" s="8">
        <f t="shared" si="6"/>
        <v>0.15727699530516431</v>
      </c>
      <c r="K43" s="4">
        <f>COUNTIF($G$19:$G$69,"&gt;"&amp;G43)+COUNTIF($G$19:G43,G43)</f>
        <v>24</v>
      </c>
      <c r="L43" s="4">
        <f>COUNTIF($I$19:$I$69,"&gt;"&amp;I43)+COUNTIF($I$19:I43,I43)</f>
        <v>39</v>
      </c>
      <c r="M43" s="4">
        <f>COUNTIF($E$19:$E$69,"&gt;"&amp;E43)+COUNTIF($E$19:E43,E43)</f>
        <v>28</v>
      </c>
      <c r="N43" s="4">
        <f>COUNTIF($H$19:$H$69,"&gt;"&amp;H43)+COUNTIF($H$19:H43,H43)</f>
        <v>1</v>
      </c>
      <c r="O43" s="8">
        <f t="shared" si="7"/>
        <v>0.88467966573816159</v>
      </c>
      <c r="P43" s="4">
        <f>COUNTIF($O$19:$O$69,"&lt;"&amp;O43)+COUNTIF($O$19:O43,O43)</f>
        <v>13</v>
      </c>
      <c r="Q43" s="4"/>
      <c r="U43" s="4"/>
      <c r="V43" s="4"/>
      <c r="W43" s="4"/>
      <c r="X43" s="4"/>
      <c r="Y43" s="4"/>
      <c r="Z43" s="4"/>
      <c r="AA43" s="4"/>
      <c r="AB43" s="4"/>
      <c r="AC43" s="4"/>
      <c r="AD43" s="4"/>
      <c r="AE43" s="4"/>
      <c r="AF43" s="4"/>
      <c r="AG43" s="4"/>
    </row>
    <row r="44" spans="1:33" x14ac:dyDescent="0.3">
      <c r="A44" s="4" t="s">
        <v>71</v>
      </c>
      <c r="B44" s="7">
        <f>SUMIFS('U.S. Voters (2012)'!$C$2:$C$256,'U.S. Voters (2012)'!$A$2:$A$256,$A44)</f>
        <v>4520000</v>
      </c>
      <c r="C44" s="7">
        <f>SUMIFS('U.S. Voters (2012)'!$D$2:$D$256,'U.S. Voters (2012)'!$A$2:$A$256,$A44)</f>
        <v>4409000</v>
      </c>
      <c r="D44" s="7">
        <f>SUMIFS('U.S. Voters (2012)'!$E$2:$E$256,'U.S. Voters (2012)'!$A$2:$A$256,$A44)</f>
        <v>3383000</v>
      </c>
      <c r="E44" s="7">
        <f>SUMIFS('U.S. Voters (2012)'!$F$2:$F$256,'U.S. Voters (2012)'!$A$2:$A$256,$A44)</f>
        <v>2818000</v>
      </c>
      <c r="F44" s="8">
        <f t="shared" si="2"/>
        <v>0.76729417101383535</v>
      </c>
      <c r="G44" s="8">
        <f t="shared" si="3"/>
        <v>0.83298847177061774</v>
      </c>
      <c r="H44" s="8">
        <f t="shared" si="4"/>
        <v>0.6234513274336283</v>
      </c>
      <c r="I44" s="7">
        <f t="shared" si="5"/>
        <v>1026000</v>
      </c>
      <c r="J44" s="8">
        <f t="shared" si="6"/>
        <v>0.23270582898616465</v>
      </c>
      <c r="K44" s="4">
        <f>COUNTIF($G$19:$G$69,"&gt;"&amp;G44)+COUNTIF($G$19:G44,G44)</f>
        <v>43</v>
      </c>
      <c r="L44" s="4">
        <f>COUNTIF($I$19:$I$69,"&gt;"&amp;I44)+COUNTIF($I$19:I44,I44)</f>
        <v>18</v>
      </c>
      <c r="M44" s="4">
        <f>COUNTIF($E$19:$E$69,"&gt;"&amp;E44)+COUNTIF($E$19:E44,E44)</f>
        <v>17</v>
      </c>
      <c r="N44" s="4">
        <f>COUNTIF($H$19:$H$69,"&gt;"&amp;H44)+COUNTIF($H$19:H44,H44)</f>
        <v>15</v>
      </c>
      <c r="O44" s="8">
        <f t="shared" si="7"/>
        <v>0.83298847177061774</v>
      </c>
      <c r="P44" s="4">
        <f>COUNTIF($O$19:$O$69,"&lt;"&amp;O44)+COUNTIF($O$19:O44,O44)</f>
        <v>2</v>
      </c>
      <c r="Q44" s="4"/>
      <c r="U44" s="4"/>
      <c r="V44" s="4"/>
      <c r="W44" s="4"/>
      <c r="X44" s="4"/>
      <c r="Y44" s="4"/>
      <c r="Z44" s="4"/>
      <c r="AA44" s="4"/>
      <c r="AB44" s="4"/>
      <c r="AC44" s="4"/>
      <c r="AD44" s="4"/>
      <c r="AE44" s="4"/>
      <c r="AF44" s="4"/>
      <c r="AG44" s="4"/>
    </row>
    <row r="45" spans="1:33" x14ac:dyDescent="0.3">
      <c r="A45" s="4" t="s">
        <v>72</v>
      </c>
      <c r="B45" s="7">
        <f>SUMIFS('U.S. Voters (2012)'!$C$2:$C$256,'U.S. Voters (2012)'!$A$2:$A$256,$A45)</f>
        <v>769000</v>
      </c>
      <c r="C45" s="7">
        <f>SUMIFS('U.S. Voters (2012)'!$D$2:$D$256,'U.S. Voters (2012)'!$A$2:$A$256,$A45)</f>
        <v>754000</v>
      </c>
      <c r="D45" s="7">
        <f>SUMIFS('U.S. Voters (2012)'!$E$2:$E$256,'U.S. Voters (2012)'!$A$2:$A$256,$A45)</f>
        <v>553000</v>
      </c>
      <c r="E45" s="7">
        <f>SUMIFS('U.S. Voters (2012)'!$F$2:$F$256,'U.S. Voters (2012)'!$A$2:$A$256,$A45)</f>
        <v>495000</v>
      </c>
      <c r="F45" s="8">
        <f t="shared" si="2"/>
        <v>0.73342175066312998</v>
      </c>
      <c r="G45" s="8">
        <f t="shared" si="3"/>
        <v>0.89511754068716098</v>
      </c>
      <c r="H45" s="8">
        <f t="shared" si="4"/>
        <v>0.64369310793237966</v>
      </c>
      <c r="I45" s="7">
        <f t="shared" si="5"/>
        <v>201000</v>
      </c>
      <c r="J45" s="8">
        <f t="shared" si="6"/>
        <v>0.26657824933687002</v>
      </c>
      <c r="K45" s="4">
        <f>COUNTIF($G$19:$G$69,"&gt;"&amp;G45)+COUNTIF($G$19:G45,G45)</f>
        <v>16</v>
      </c>
      <c r="L45" s="4">
        <f>COUNTIF($I$19:$I$69,"&gt;"&amp;I45)+COUNTIF($I$19:I45,I45)</f>
        <v>43</v>
      </c>
      <c r="M45" s="4">
        <f>COUNTIF($E$19:$E$69,"&gt;"&amp;E45)+COUNTIF($E$19:E45,E45)</f>
        <v>42</v>
      </c>
      <c r="N45" s="4">
        <f>COUNTIF($H$19:$H$69,"&gt;"&amp;H45)+COUNTIF($H$19:H45,H45)</f>
        <v>12</v>
      </c>
      <c r="O45" s="8">
        <f t="shared" si="7"/>
        <v>0.89511754068716098</v>
      </c>
      <c r="P45" s="4">
        <f>COUNTIF($O$19:$O$69,"&lt;"&amp;O45)+COUNTIF($O$19:O45,O45)</f>
        <v>16</v>
      </c>
      <c r="Q45" s="4"/>
      <c r="U45" s="4"/>
      <c r="V45" s="4"/>
      <c r="W45" s="4"/>
      <c r="X45" s="4"/>
      <c r="Y45" s="4"/>
      <c r="Z45" s="4"/>
      <c r="AA45" s="4"/>
      <c r="AB45" s="4"/>
      <c r="AC45" s="4"/>
      <c r="AD45" s="4"/>
      <c r="AE45" s="4"/>
      <c r="AF45" s="4"/>
      <c r="AG45" s="4"/>
    </row>
    <row r="46" spans="1:33" x14ac:dyDescent="0.3">
      <c r="A46" s="4" t="s">
        <v>73</v>
      </c>
      <c r="B46" s="7">
        <f>SUMIFS('U.S. Voters (2012)'!$C$2:$C$256,'U.S. Voters (2012)'!$A$2:$A$256,$A46)</f>
        <v>1371000</v>
      </c>
      <c r="C46" s="7">
        <f>SUMIFS('U.S. Voters (2012)'!$D$2:$D$256,'U.S. Voters (2012)'!$A$2:$A$256,$A46)</f>
        <v>1297000</v>
      </c>
      <c r="D46" s="7">
        <f>SUMIFS('U.S. Voters (2012)'!$E$2:$E$256,'U.S. Voters (2012)'!$A$2:$A$256,$A46)</f>
        <v>901000</v>
      </c>
      <c r="E46" s="7">
        <f>SUMIFS('U.S. Voters (2012)'!$F$2:$F$256,'U.S. Voters (2012)'!$A$2:$A$256,$A46)</f>
        <v>799000</v>
      </c>
      <c r="F46" s="8">
        <f t="shared" si="2"/>
        <v>0.69468003084040097</v>
      </c>
      <c r="G46" s="8">
        <f t="shared" si="3"/>
        <v>0.8867924528301887</v>
      </c>
      <c r="H46" s="8">
        <f t="shared" si="4"/>
        <v>0.58278628738147342</v>
      </c>
      <c r="I46" s="7">
        <f t="shared" si="5"/>
        <v>396000</v>
      </c>
      <c r="J46" s="8">
        <f t="shared" si="6"/>
        <v>0.30531996915959908</v>
      </c>
      <c r="K46" s="4">
        <f>COUNTIF($G$19:$G$69,"&gt;"&amp;G46)+COUNTIF($G$19:G46,G46)</f>
        <v>23</v>
      </c>
      <c r="L46" s="4">
        <f>COUNTIF($I$19:$I$69,"&gt;"&amp;I46)+COUNTIF($I$19:I46,I46)</f>
        <v>37</v>
      </c>
      <c r="M46" s="4">
        <f>COUNTIF($E$19:$E$69,"&gt;"&amp;E46)+COUNTIF($E$19:E46,E46)</f>
        <v>37</v>
      </c>
      <c r="N46" s="4">
        <f>COUNTIF($H$19:$H$69,"&gt;"&amp;H46)+COUNTIF($H$19:H46,H46)</f>
        <v>29</v>
      </c>
      <c r="O46" s="8">
        <f t="shared" si="7"/>
        <v>2</v>
      </c>
      <c r="P46" s="4">
        <f>COUNTIF($O$19:$O$69,"&lt;"&amp;O46)+COUNTIF($O$19:O46,O46)</f>
        <v>40</v>
      </c>
      <c r="Q46" s="4"/>
      <c r="U46" s="4"/>
      <c r="V46" s="4"/>
      <c r="W46" s="4"/>
      <c r="X46" s="4"/>
      <c r="Y46" s="4"/>
      <c r="Z46" s="4"/>
      <c r="AA46" s="4"/>
      <c r="AB46" s="4"/>
      <c r="AC46" s="4"/>
      <c r="AD46" s="4"/>
      <c r="AE46" s="4"/>
      <c r="AF46" s="4"/>
      <c r="AG46" s="4"/>
    </row>
    <row r="47" spans="1:33" x14ac:dyDescent="0.3">
      <c r="A47" s="4" t="s">
        <v>74</v>
      </c>
      <c r="B47" s="7">
        <f>SUMIFS('U.S. Voters (2012)'!$C$2:$C$256,'U.S. Voters (2012)'!$A$2:$A$256,$A47)</f>
        <v>2040000</v>
      </c>
      <c r="C47" s="7">
        <f>SUMIFS('U.S. Voters (2012)'!$D$2:$D$256,'U.S. Voters (2012)'!$A$2:$A$256,$A47)</f>
        <v>1808000</v>
      </c>
      <c r="D47" s="7">
        <f>SUMIFS('U.S. Voters (2012)'!$E$2:$E$256,'U.S. Voters (2012)'!$A$2:$A$256,$A47)</f>
        <v>1175000</v>
      </c>
      <c r="E47" s="7">
        <f>SUMIFS('U.S. Voters (2012)'!$F$2:$F$256,'U.S. Voters (2012)'!$A$2:$A$256,$A47)</f>
        <v>1048000</v>
      </c>
      <c r="F47" s="8">
        <f t="shared" si="2"/>
        <v>0.64988938053097345</v>
      </c>
      <c r="G47" s="8">
        <f t="shared" si="3"/>
        <v>0.89191489361702125</v>
      </c>
      <c r="H47" s="8">
        <f t="shared" si="4"/>
        <v>0.51372549019607838</v>
      </c>
      <c r="I47" s="7">
        <f t="shared" si="5"/>
        <v>633000</v>
      </c>
      <c r="J47" s="8">
        <f t="shared" si="6"/>
        <v>0.35011061946902655</v>
      </c>
      <c r="K47" s="4">
        <f>COUNTIF($G$19:$G$69,"&gt;"&amp;G47)+COUNTIF($G$19:G47,G47)</f>
        <v>17</v>
      </c>
      <c r="L47" s="4">
        <f>COUNTIF($I$19:$I$69,"&gt;"&amp;I47)+COUNTIF($I$19:I47,I47)</f>
        <v>32</v>
      </c>
      <c r="M47" s="4">
        <f>COUNTIF($E$19:$E$69,"&gt;"&amp;E47)+COUNTIF($E$19:E47,E47)</f>
        <v>34</v>
      </c>
      <c r="N47" s="4">
        <f>COUNTIF($H$19:$H$69,"&gt;"&amp;H47)+COUNTIF($H$19:H47,H47)</f>
        <v>43</v>
      </c>
      <c r="O47" s="8">
        <f t="shared" si="7"/>
        <v>2</v>
      </c>
      <c r="P47" s="4">
        <f>COUNTIF($O$19:$O$69,"&lt;"&amp;O47)+COUNTIF($O$19:O47,O47)</f>
        <v>41</v>
      </c>
      <c r="Q47" s="4"/>
      <c r="U47" s="4"/>
      <c r="V47" s="4"/>
      <c r="W47" s="4"/>
      <c r="X47" s="4"/>
      <c r="Y47" s="4"/>
      <c r="Z47" s="4"/>
      <c r="AA47" s="4"/>
      <c r="AB47" s="4"/>
      <c r="AC47" s="4"/>
      <c r="AD47" s="4"/>
      <c r="AE47" s="4"/>
      <c r="AF47" s="4"/>
      <c r="AG47" s="4"/>
    </row>
    <row r="48" spans="1:33" x14ac:dyDescent="0.3">
      <c r="A48" s="4" t="s">
        <v>75</v>
      </c>
      <c r="B48" s="7">
        <f>SUMIFS('U.S. Voters (2012)'!$C$2:$C$256,'U.S. Voters (2012)'!$A$2:$A$256,$A48)</f>
        <v>1029000</v>
      </c>
      <c r="C48" s="7">
        <f>SUMIFS('U.S. Voters (2012)'!$D$2:$D$256,'U.S. Voters (2012)'!$A$2:$A$256,$A48)</f>
        <v>992000</v>
      </c>
      <c r="D48" s="7">
        <f>SUMIFS('U.S. Voters (2012)'!$E$2:$E$256,'U.S. Voters (2012)'!$A$2:$A$256,$A48)</f>
        <v>752000</v>
      </c>
      <c r="E48" s="7">
        <f>SUMIFS('U.S. Voters (2012)'!$F$2:$F$256,'U.S. Voters (2012)'!$A$2:$A$256,$A48)</f>
        <v>688000</v>
      </c>
      <c r="F48" s="8">
        <f t="shared" si="2"/>
        <v>0.75806451612903225</v>
      </c>
      <c r="G48" s="8">
        <f t="shared" si="3"/>
        <v>0.91489361702127658</v>
      </c>
      <c r="H48" s="8">
        <f t="shared" si="4"/>
        <v>0.66861030126336252</v>
      </c>
      <c r="I48" s="7">
        <f t="shared" si="5"/>
        <v>240000</v>
      </c>
      <c r="J48" s="8">
        <f t="shared" si="6"/>
        <v>0.24193548387096775</v>
      </c>
      <c r="K48" s="4">
        <f>COUNTIF($G$19:$G$69,"&gt;"&amp;G48)+COUNTIF($G$19:G48,G48)</f>
        <v>6</v>
      </c>
      <c r="L48" s="4">
        <f>COUNTIF($I$19:$I$69,"&gt;"&amp;I48)+COUNTIF($I$19:I48,I48)</f>
        <v>41</v>
      </c>
      <c r="M48" s="4">
        <f>COUNTIF($E$19:$E$69,"&gt;"&amp;E48)+COUNTIF($E$19:E48,E48)</f>
        <v>40</v>
      </c>
      <c r="N48" s="4">
        <f>COUNTIF($H$19:$H$69,"&gt;"&amp;H48)+COUNTIF($H$19:H48,H48)</f>
        <v>6</v>
      </c>
      <c r="O48" s="8">
        <f t="shared" si="7"/>
        <v>0.91489361702127658</v>
      </c>
      <c r="P48" s="4">
        <f>COUNTIF($O$19:$O$69,"&lt;"&amp;O48)+COUNTIF($O$19:O48,O48)</f>
        <v>22</v>
      </c>
      <c r="Q48" s="4"/>
      <c r="U48" s="4"/>
      <c r="V48" s="4"/>
      <c r="W48" s="4"/>
      <c r="X48" s="4"/>
      <c r="Y48" s="4"/>
      <c r="Z48" s="4"/>
      <c r="AA48" s="4"/>
      <c r="AB48" s="4"/>
      <c r="AC48" s="4"/>
      <c r="AD48" s="4"/>
      <c r="AE48" s="4"/>
      <c r="AF48" s="4"/>
      <c r="AG48" s="4"/>
    </row>
    <row r="49" spans="1:33" x14ac:dyDescent="0.3">
      <c r="A49" s="4" t="s">
        <v>76</v>
      </c>
      <c r="B49" s="7">
        <f>SUMIFS('U.S. Voters (2012)'!$C$2:$C$256,'U.S. Voters (2012)'!$A$2:$A$256,$A49)</f>
        <v>6729000</v>
      </c>
      <c r="C49" s="7">
        <f>SUMIFS('U.S. Voters (2012)'!$D$2:$D$256,'U.S. Voters (2012)'!$A$2:$A$256,$A49)</f>
        <v>5929000</v>
      </c>
      <c r="D49" s="7">
        <f>SUMIFS('U.S. Voters (2012)'!$E$2:$E$256,'U.S. Voters (2012)'!$A$2:$A$256,$A49)</f>
        <v>4326000</v>
      </c>
      <c r="E49" s="7">
        <f>SUMIFS('U.S. Voters (2012)'!$F$2:$F$256,'U.S. Voters (2012)'!$A$2:$A$256,$A49)</f>
        <v>3670000</v>
      </c>
      <c r="F49" s="8">
        <f t="shared" si="2"/>
        <v>0.72963400236127507</v>
      </c>
      <c r="G49" s="8">
        <f t="shared" si="3"/>
        <v>0.8483587609801202</v>
      </c>
      <c r="H49" s="8">
        <f t="shared" si="4"/>
        <v>0.54540050527567241</v>
      </c>
      <c r="I49" s="7">
        <f t="shared" si="5"/>
        <v>1603000</v>
      </c>
      <c r="J49" s="8">
        <f t="shared" si="6"/>
        <v>0.27036599763872493</v>
      </c>
      <c r="K49" s="4">
        <f>COUNTIF($G$19:$G$69,"&gt;"&amp;G49)+COUNTIF($G$19:G49,G49)</f>
        <v>40</v>
      </c>
      <c r="L49" s="4">
        <f>COUNTIF($I$19:$I$69,"&gt;"&amp;I49)+COUNTIF($I$19:I49,I49)</f>
        <v>10</v>
      </c>
      <c r="M49" s="4">
        <f>COUNTIF($E$19:$E$69,"&gt;"&amp;E49)+COUNTIF($E$19:E49,E49)</f>
        <v>12</v>
      </c>
      <c r="N49" s="4">
        <f>COUNTIF($H$19:$H$69,"&gt;"&amp;H49)+COUNTIF($H$19:H49,H49)</f>
        <v>39</v>
      </c>
      <c r="O49" s="8">
        <f t="shared" si="7"/>
        <v>0.8483587609801202</v>
      </c>
      <c r="P49" s="4">
        <f>COUNTIF($O$19:$O$69,"&lt;"&amp;O49)+COUNTIF($O$19:O49,O49)</f>
        <v>4</v>
      </c>
      <c r="Q49" s="4"/>
      <c r="R49" s="4"/>
      <c r="S49" s="4"/>
      <c r="T49" s="4"/>
      <c r="U49" s="4"/>
      <c r="V49" s="4"/>
      <c r="W49" s="4"/>
      <c r="X49" s="4"/>
      <c r="Y49" s="4"/>
      <c r="Z49" s="4"/>
      <c r="AA49" s="4"/>
      <c r="AB49" s="4"/>
      <c r="AC49" s="4"/>
      <c r="AD49" s="4"/>
      <c r="AE49" s="4"/>
      <c r="AF49" s="4"/>
      <c r="AG49" s="4"/>
    </row>
    <row r="50" spans="1:33" x14ac:dyDescent="0.3">
      <c r="A50" s="4" t="s">
        <v>77</v>
      </c>
      <c r="B50" s="7">
        <f>SUMIFS('U.S. Voters (2012)'!$C$2:$C$256,'U.S. Voters (2012)'!$A$2:$A$256,$A50)</f>
        <v>1554000</v>
      </c>
      <c r="C50" s="7">
        <f>SUMIFS('U.S. Voters (2012)'!$D$2:$D$256,'U.S. Voters (2012)'!$A$2:$A$256,$A50)</f>
        <v>1426000</v>
      </c>
      <c r="D50" s="7">
        <f>SUMIFS('U.S. Voters (2012)'!$E$2:$E$256,'U.S. Voters (2012)'!$A$2:$A$256,$A50)</f>
        <v>979000</v>
      </c>
      <c r="E50" s="7">
        <f>SUMIFS('U.S. Voters (2012)'!$F$2:$F$256,'U.S. Voters (2012)'!$A$2:$A$256,$A50)</f>
        <v>878000</v>
      </c>
      <c r="F50" s="8">
        <f t="shared" si="2"/>
        <v>0.6865357643758766</v>
      </c>
      <c r="G50" s="8">
        <f t="shared" si="3"/>
        <v>0.89683350357507663</v>
      </c>
      <c r="H50" s="8">
        <f t="shared" si="4"/>
        <v>0.56499356499356501</v>
      </c>
      <c r="I50" s="7">
        <f t="shared" si="5"/>
        <v>447000</v>
      </c>
      <c r="J50" s="8">
        <f t="shared" si="6"/>
        <v>0.3134642356241234</v>
      </c>
      <c r="K50" s="4">
        <f>COUNTIF($G$19:$G$69,"&gt;"&amp;G50)+COUNTIF($G$19:G50,G50)</f>
        <v>15</v>
      </c>
      <c r="L50" s="4">
        <f>COUNTIF($I$19:$I$69,"&gt;"&amp;I50)+COUNTIF($I$19:I50,I50)</f>
        <v>36</v>
      </c>
      <c r="M50" s="4">
        <f>COUNTIF($E$19:$E$69,"&gt;"&amp;E50)+COUNTIF($E$19:E50,E50)</f>
        <v>36</v>
      </c>
      <c r="N50" s="4">
        <f>COUNTIF($H$19:$H$69,"&gt;"&amp;H50)+COUNTIF($H$19:H50,H50)</f>
        <v>36</v>
      </c>
      <c r="O50" s="8">
        <f t="shared" si="7"/>
        <v>2</v>
      </c>
      <c r="P50" s="4">
        <f>COUNTIF($O$19:$O$69,"&lt;"&amp;O50)+COUNTIF($O$19:O50,O50)</f>
        <v>42</v>
      </c>
      <c r="Q50" s="4"/>
      <c r="R50" s="4"/>
      <c r="S50" s="4"/>
      <c r="T50" s="4"/>
      <c r="U50" s="4"/>
      <c r="V50" s="4"/>
      <c r="W50" s="4"/>
      <c r="X50" s="4"/>
      <c r="Y50" s="4"/>
      <c r="Z50" s="4"/>
      <c r="AA50" s="4"/>
      <c r="AB50" s="4"/>
      <c r="AC50" s="4"/>
      <c r="AD50" s="4"/>
      <c r="AE50" s="4"/>
      <c r="AF50" s="4"/>
      <c r="AG50" s="4"/>
    </row>
    <row r="51" spans="1:33" x14ac:dyDescent="0.3">
      <c r="A51" s="4" t="s">
        <v>78</v>
      </c>
      <c r="B51" s="7">
        <f>SUMIFS('U.S. Voters (2012)'!$C$2:$C$256,'U.S. Voters (2012)'!$A$2:$A$256,$A51)</f>
        <v>15066000</v>
      </c>
      <c r="C51" s="7">
        <f>SUMIFS('U.S. Voters (2012)'!$D$2:$D$256,'U.S. Voters (2012)'!$A$2:$A$256,$A51)</f>
        <v>13081000</v>
      </c>
      <c r="D51" s="7">
        <f>SUMIFS('U.S. Voters (2012)'!$E$2:$E$256,'U.S. Voters (2012)'!$A$2:$A$256,$A51)</f>
        <v>8886000</v>
      </c>
      <c r="E51" s="7">
        <f>SUMIFS('U.S. Voters (2012)'!$F$2:$F$256,'U.S. Voters (2012)'!$A$2:$A$256,$A51)</f>
        <v>7676000</v>
      </c>
      <c r="F51" s="8">
        <f t="shared" ref="F51:F69" si="8">D51/C51</f>
        <v>0.67930586346609589</v>
      </c>
      <c r="G51" s="8">
        <f t="shared" ref="G51:G69" si="9">E51/D51</f>
        <v>0.86383074499212242</v>
      </c>
      <c r="H51" s="8">
        <f t="shared" ref="H51:H69" si="10">E51/B51</f>
        <v>0.50949157042347004</v>
      </c>
      <c r="I51" s="7">
        <f t="shared" ref="I51:I69" si="11">C51-D51</f>
        <v>4195000</v>
      </c>
      <c r="J51" s="8">
        <f t="shared" ref="J51:J69" si="12">I51/C51</f>
        <v>0.32069413653390416</v>
      </c>
      <c r="K51" s="4">
        <f>COUNTIF($G$19:$G$69,"&gt;"&amp;G51)+COUNTIF($G$19:G51,G51)</f>
        <v>30</v>
      </c>
      <c r="L51" s="4">
        <f>COUNTIF($I$19:$I$69,"&gt;"&amp;I51)+COUNTIF($I$19:I51,I51)</f>
        <v>4</v>
      </c>
      <c r="M51" s="4">
        <f>COUNTIF($E$19:$E$69,"&gt;"&amp;E51)+COUNTIF($E$19:E51,E51)</f>
        <v>4</v>
      </c>
      <c r="N51" s="4">
        <f>COUNTIF($H$19:$H$69,"&gt;"&amp;H51)+COUNTIF($H$19:H51,H51)</f>
        <v>45</v>
      </c>
      <c r="O51" s="8">
        <f t="shared" ref="O51:O69" si="13">IF(F51&gt;=MEDIAN($F$19:$F$69),G51,2)</f>
        <v>2</v>
      </c>
      <c r="P51" s="4">
        <f>COUNTIF($O$19:$O$69,"&lt;"&amp;O51)+COUNTIF($O$19:O51,O51)</f>
        <v>43</v>
      </c>
      <c r="Q51" s="4"/>
      <c r="R51" s="4"/>
      <c r="S51" s="4"/>
      <c r="T51" s="4"/>
      <c r="U51" s="4"/>
      <c r="V51" s="4"/>
      <c r="W51" s="4"/>
      <c r="X51" s="4"/>
      <c r="Y51" s="4"/>
      <c r="Z51" s="4"/>
      <c r="AA51" s="4"/>
      <c r="AB51" s="4"/>
      <c r="AC51" s="4"/>
      <c r="AD51" s="4"/>
      <c r="AE51" s="4"/>
      <c r="AF51" s="4"/>
      <c r="AG51" s="4"/>
    </row>
    <row r="52" spans="1:33" x14ac:dyDescent="0.3">
      <c r="A52" s="4" t="s">
        <v>79</v>
      </c>
      <c r="B52" s="7">
        <f>SUMIFS('U.S. Voters (2012)'!$C$2:$C$256,'U.S. Voters (2012)'!$A$2:$A$256,$A52)</f>
        <v>7263000</v>
      </c>
      <c r="C52" s="7">
        <f>SUMIFS('U.S. Voters (2012)'!$D$2:$D$256,'U.S. Voters (2012)'!$A$2:$A$256,$A52)</f>
        <v>6711000</v>
      </c>
      <c r="D52" s="7">
        <f>SUMIFS('U.S. Voters (2012)'!$E$2:$E$256,'U.S. Voters (2012)'!$A$2:$A$256,$A52)</f>
        <v>5294000</v>
      </c>
      <c r="E52" s="7">
        <f>SUMIFS('U.S. Voters (2012)'!$F$2:$F$256,'U.S. Voters (2012)'!$A$2:$A$256,$A52)</f>
        <v>4624000</v>
      </c>
      <c r="F52" s="8">
        <f t="shared" si="8"/>
        <v>0.78885412010132616</v>
      </c>
      <c r="G52" s="8">
        <f t="shared" si="9"/>
        <v>0.87344163203626746</v>
      </c>
      <c r="H52" s="8">
        <f t="shared" si="10"/>
        <v>0.63665152140988568</v>
      </c>
      <c r="I52" s="7">
        <f t="shared" si="11"/>
        <v>1417000</v>
      </c>
      <c r="J52" s="8">
        <f t="shared" si="12"/>
        <v>0.21114587989867381</v>
      </c>
      <c r="K52" s="4">
        <f>COUNTIF($G$19:$G$69,"&gt;"&amp;G52)+COUNTIF($G$19:G52,G52)</f>
        <v>29</v>
      </c>
      <c r="L52" s="4">
        <f>COUNTIF($I$19:$I$69,"&gt;"&amp;I52)+COUNTIF($I$19:I52,I52)</f>
        <v>15</v>
      </c>
      <c r="M52" s="4">
        <f>COUNTIF($E$19:$E$69,"&gt;"&amp;E52)+COUNTIF($E$19:E52,E52)</f>
        <v>9</v>
      </c>
      <c r="N52" s="4">
        <f>COUNTIF($H$19:$H$69,"&gt;"&amp;H52)+COUNTIF($H$19:H52,H52)</f>
        <v>13</v>
      </c>
      <c r="O52" s="8">
        <f t="shared" si="13"/>
        <v>0.87344163203626746</v>
      </c>
      <c r="P52" s="4">
        <f>COUNTIF($O$19:$O$69,"&lt;"&amp;O52)+COUNTIF($O$19:O52,O52)</f>
        <v>11</v>
      </c>
      <c r="Q52" s="4"/>
      <c r="R52" s="4"/>
      <c r="S52" s="4"/>
      <c r="T52" s="4"/>
      <c r="U52" s="4"/>
      <c r="V52" s="4"/>
      <c r="W52" s="4"/>
      <c r="X52" s="4"/>
      <c r="Y52" s="4"/>
      <c r="Z52" s="4"/>
      <c r="AA52" s="4"/>
      <c r="AB52" s="4"/>
      <c r="AC52" s="4"/>
      <c r="AD52" s="4"/>
      <c r="AE52" s="4"/>
      <c r="AF52" s="4"/>
      <c r="AG52" s="4"/>
    </row>
    <row r="53" spans="1:33" x14ac:dyDescent="0.3">
      <c r="A53" s="4" t="s">
        <v>80</v>
      </c>
      <c r="B53" s="7">
        <f>SUMIFS('U.S. Voters (2012)'!$C$2:$C$256,'U.S. Voters (2012)'!$A$2:$A$256,$A53)</f>
        <v>528000</v>
      </c>
      <c r="C53" s="7">
        <f>SUMIFS('U.S. Voters (2012)'!$D$2:$D$256,'U.S. Voters (2012)'!$A$2:$A$256,$A53)</f>
        <v>515000</v>
      </c>
      <c r="D53" s="7">
        <f>SUMIFS('U.S. Voters (2012)'!$E$2:$E$256,'U.S. Voters (2012)'!$A$2:$A$256,$A53)</f>
        <v>384000</v>
      </c>
      <c r="E53" s="7">
        <f>SUMIFS('U.S. Voters (2012)'!$F$2:$F$256,'U.S. Voters (2012)'!$A$2:$A$256,$A53)</f>
        <v>328000</v>
      </c>
      <c r="F53" s="8">
        <f t="shared" si="8"/>
        <v>0.74563106796116507</v>
      </c>
      <c r="G53" s="8">
        <f t="shared" si="9"/>
        <v>0.85416666666666663</v>
      </c>
      <c r="H53" s="8">
        <f t="shared" si="10"/>
        <v>0.62121212121212122</v>
      </c>
      <c r="I53" s="7">
        <f t="shared" si="11"/>
        <v>131000</v>
      </c>
      <c r="J53" s="8">
        <f t="shared" si="12"/>
        <v>0.25436893203883493</v>
      </c>
      <c r="K53" s="4">
        <f>COUNTIF($G$19:$G$69,"&gt;"&amp;G53)+COUNTIF($G$19:G53,G53)</f>
        <v>37</v>
      </c>
      <c r="L53" s="4">
        <f>COUNTIF($I$19:$I$69,"&gt;"&amp;I53)+COUNTIF($I$19:I53,I53)</f>
        <v>49</v>
      </c>
      <c r="M53" s="4">
        <f>COUNTIF($E$19:$E$69,"&gt;"&amp;E53)+COUNTIF($E$19:E53,E53)</f>
        <v>48</v>
      </c>
      <c r="N53" s="4">
        <f>COUNTIF($H$19:$H$69,"&gt;"&amp;H53)+COUNTIF($H$19:H53,H53)</f>
        <v>17</v>
      </c>
      <c r="O53" s="8">
        <f t="shared" si="13"/>
        <v>0.85416666666666663</v>
      </c>
      <c r="P53" s="4">
        <f>COUNTIF($O$19:$O$69,"&lt;"&amp;O53)+COUNTIF($O$19:O53,O53)</f>
        <v>7</v>
      </c>
      <c r="Q53" s="4"/>
      <c r="R53" s="4"/>
      <c r="S53" s="4"/>
      <c r="T53" s="4"/>
      <c r="U53" s="4"/>
      <c r="V53" s="4"/>
      <c r="W53" s="4"/>
      <c r="X53" s="4"/>
      <c r="Y53" s="4"/>
      <c r="Z53" s="4"/>
      <c r="AA53" s="4"/>
      <c r="AB53" s="4"/>
      <c r="AC53" s="4"/>
      <c r="AD53" s="4"/>
      <c r="AE53" s="4"/>
      <c r="AF53" s="4"/>
      <c r="AG53" s="4"/>
    </row>
    <row r="54" spans="1:33" x14ac:dyDescent="0.3">
      <c r="A54" s="4" t="s">
        <v>81</v>
      </c>
      <c r="B54" s="7">
        <f>SUMIFS('U.S. Voters (2012)'!$C$2:$C$256,'U.S. Voters (2012)'!$A$2:$A$256,$A54)</f>
        <v>8751000</v>
      </c>
      <c r="C54" s="7">
        <f>SUMIFS('U.S. Voters (2012)'!$D$2:$D$256,'U.S. Voters (2012)'!$A$2:$A$256,$A54)</f>
        <v>8550000</v>
      </c>
      <c r="D54" s="7">
        <f>SUMIFS('U.S. Voters (2012)'!$E$2:$E$256,'U.S. Voters (2012)'!$A$2:$A$256,$A54)</f>
        <v>6076000</v>
      </c>
      <c r="E54" s="7">
        <f>SUMIFS('U.S. Voters (2012)'!$F$2:$F$256,'U.S. Voters (2012)'!$A$2:$A$256,$A54)</f>
        <v>5395000</v>
      </c>
      <c r="F54" s="8">
        <f t="shared" si="8"/>
        <v>0.71064327485380119</v>
      </c>
      <c r="G54" s="8">
        <f t="shared" si="9"/>
        <v>0.88791968400263332</v>
      </c>
      <c r="H54" s="8">
        <f t="shared" si="10"/>
        <v>0.61650097131756376</v>
      </c>
      <c r="I54" s="7">
        <f t="shared" si="11"/>
        <v>2474000</v>
      </c>
      <c r="J54" s="8">
        <f t="shared" si="12"/>
        <v>0.28935672514619881</v>
      </c>
      <c r="K54" s="4">
        <f>COUNTIF($G$19:$G$69,"&gt;"&amp;G54)+COUNTIF($G$19:G54,G54)</f>
        <v>21</v>
      </c>
      <c r="L54" s="4">
        <f>COUNTIF($I$19:$I$69,"&gt;"&amp;I54)+COUNTIF($I$19:I54,I54)</f>
        <v>6</v>
      </c>
      <c r="M54" s="4">
        <f>COUNTIF($E$19:$E$69,"&gt;"&amp;E54)+COUNTIF($E$19:E54,E54)</f>
        <v>7</v>
      </c>
      <c r="N54" s="4">
        <f>COUNTIF($H$19:$H$69,"&gt;"&amp;H54)+COUNTIF($H$19:H54,H54)</f>
        <v>21</v>
      </c>
      <c r="O54" s="8">
        <f t="shared" si="13"/>
        <v>2</v>
      </c>
      <c r="P54" s="4">
        <f>COUNTIF($O$19:$O$69,"&lt;"&amp;O54)+COUNTIF($O$19:O54,O54)</f>
        <v>44</v>
      </c>
      <c r="Q54" s="4"/>
      <c r="R54" s="4"/>
      <c r="S54" s="4"/>
      <c r="T54" s="4"/>
      <c r="U54" s="4"/>
      <c r="V54" s="4"/>
      <c r="W54" s="4"/>
      <c r="X54" s="4"/>
      <c r="Y54" s="4"/>
      <c r="Z54" s="4"/>
      <c r="AA54" s="4"/>
      <c r="AB54" s="4"/>
      <c r="AC54" s="4"/>
      <c r="AD54" s="4"/>
      <c r="AE54" s="4"/>
      <c r="AF54" s="4"/>
      <c r="AG54" s="4"/>
    </row>
    <row r="55" spans="1:33" x14ac:dyDescent="0.3">
      <c r="A55" s="4" t="s">
        <v>82</v>
      </c>
      <c r="B55" s="7">
        <f>SUMIFS('U.S. Voters (2012)'!$C$2:$C$256,'U.S. Voters (2012)'!$A$2:$A$256,$A55)</f>
        <v>2809000</v>
      </c>
      <c r="C55" s="7">
        <f>SUMIFS('U.S. Voters (2012)'!$D$2:$D$256,'U.S. Voters (2012)'!$A$2:$A$256,$A55)</f>
        <v>2734000</v>
      </c>
      <c r="D55" s="7">
        <f>SUMIFS('U.S. Voters (2012)'!$E$2:$E$256,'U.S. Voters (2012)'!$A$2:$A$256,$A55)</f>
        <v>1805000</v>
      </c>
      <c r="E55" s="7">
        <f>SUMIFS('U.S. Voters (2012)'!$F$2:$F$256,'U.S. Voters (2012)'!$A$2:$A$256,$A55)</f>
        <v>1431000</v>
      </c>
      <c r="F55" s="8">
        <f t="shared" si="8"/>
        <v>0.66020482809070957</v>
      </c>
      <c r="G55" s="8">
        <f t="shared" si="9"/>
        <v>0.79279778393351796</v>
      </c>
      <c r="H55" s="8">
        <f t="shared" si="10"/>
        <v>0.50943396226415094</v>
      </c>
      <c r="I55" s="7">
        <f t="shared" si="11"/>
        <v>929000</v>
      </c>
      <c r="J55" s="8">
        <f t="shared" si="12"/>
        <v>0.33979517190929043</v>
      </c>
      <c r="K55" s="4">
        <f>COUNTIF($G$19:$G$69,"&gt;"&amp;G55)+COUNTIF($G$19:G55,G55)</f>
        <v>50</v>
      </c>
      <c r="L55" s="4">
        <f>COUNTIF($I$19:$I$69,"&gt;"&amp;I55)+COUNTIF($I$19:I55,I55)</f>
        <v>20</v>
      </c>
      <c r="M55" s="4">
        <f>COUNTIF($E$19:$E$69,"&gt;"&amp;E55)+COUNTIF($E$19:E55,E55)</f>
        <v>31</v>
      </c>
      <c r="N55" s="4">
        <f>COUNTIF($H$19:$H$69,"&gt;"&amp;H55)+COUNTIF($H$19:H55,H55)</f>
        <v>46</v>
      </c>
      <c r="O55" s="8">
        <f t="shared" si="13"/>
        <v>2</v>
      </c>
      <c r="P55" s="4">
        <f>COUNTIF($O$19:$O$69,"&lt;"&amp;O55)+COUNTIF($O$19:O55,O55)</f>
        <v>45</v>
      </c>
      <c r="Q55" s="4"/>
      <c r="R55" s="4"/>
      <c r="S55" s="4"/>
      <c r="T55" s="4"/>
      <c r="U55" s="4"/>
      <c r="V55" s="4"/>
      <c r="W55" s="4"/>
      <c r="X55" s="4"/>
      <c r="Y55" s="4"/>
      <c r="Z55" s="4"/>
      <c r="AA55" s="4"/>
      <c r="AB55" s="4"/>
      <c r="AC55" s="4"/>
      <c r="AD55" s="4"/>
      <c r="AE55" s="4"/>
      <c r="AF55" s="4"/>
      <c r="AG55" s="4"/>
    </row>
    <row r="56" spans="1:33" x14ac:dyDescent="0.3">
      <c r="A56" s="4" t="s">
        <v>83</v>
      </c>
      <c r="B56" s="7">
        <f>SUMIFS('U.S. Voters (2012)'!$C$2:$C$256,'U.S. Voters (2012)'!$A$2:$A$256,$A56)</f>
        <v>2999000</v>
      </c>
      <c r="C56" s="7">
        <f>SUMIFS('U.S. Voters (2012)'!$D$2:$D$256,'U.S. Voters (2012)'!$A$2:$A$256,$A56)</f>
        <v>2807000</v>
      </c>
      <c r="D56" s="7">
        <f>SUMIFS('U.S. Voters (2012)'!$E$2:$E$256,'U.S. Voters (2012)'!$A$2:$A$256,$A56)</f>
        <v>2086000</v>
      </c>
      <c r="E56" s="7">
        <f>SUMIFS('U.S. Voters (2012)'!$F$2:$F$256,'U.S. Voters (2012)'!$A$2:$A$256,$A56)</f>
        <v>1897000</v>
      </c>
      <c r="F56" s="8">
        <f t="shared" si="8"/>
        <v>0.743142144638404</v>
      </c>
      <c r="G56" s="8">
        <f t="shared" si="9"/>
        <v>0.90939597315436238</v>
      </c>
      <c r="H56" s="8">
        <f t="shared" si="10"/>
        <v>0.63254418139379798</v>
      </c>
      <c r="I56" s="7">
        <f t="shared" si="11"/>
        <v>721000</v>
      </c>
      <c r="J56" s="8">
        <f t="shared" si="12"/>
        <v>0.256857855361596</v>
      </c>
      <c r="K56" s="4">
        <f>COUNTIF($G$19:$G$69,"&gt;"&amp;G56)+COUNTIF($G$19:G56,G56)</f>
        <v>9</v>
      </c>
      <c r="L56" s="4">
        <f>COUNTIF($I$19:$I$69,"&gt;"&amp;I56)+COUNTIF($I$19:I56,I56)</f>
        <v>30</v>
      </c>
      <c r="M56" s="4">
        <f>COUNTIF($E$19:$E$69,"&gt;"&amp;E56)+COUNTIF($E$19:E56,E56)</f>
        <v>26</v>
      </c>
      <c r="N56" s="4">
        <f>COUNTIF($H$19:$H$69,"&gt;"&amp;H56)+COUNTIF($H$19:H56,H56)</f>
        <v>14</v>
      </c>
      <c r="O56" s="8">
        <f t="shared" si="13"/>
        <v>0.90939597315436238</v>
      </c>
      <c r="P56" s="4">
        <f>COUNTIF($O$19:$O$69,"&lt;"&amp;O56)+COUNTIF($O$19:O56,O56)</f>
        <v>20</v>
      </c>
      <c r="Q56" s="4"/>
      <c r="R56" s="4"/>
      <c r="S56" s="4"/>
      <c r="T56" s="4"/>
      <c r="U56" s="4"/>
      <c r="V56" s="4"/>
      <c r="W56" s="4"/>
      <c r="X56" s="4"/>
      <c r="Y56" s="4"/>
      <c r="Z56" s="4"/>
      <c r="AA56" s="4"/>
      <c r="AB56" s="4"/>
      <c r="AC56" s="4"/>
      <c r="AD56" s="4"/>
      <c r="AE56" s="4"/>
      <c r="AF56" s="4"/>
      <c r="AG56" s="4"/>
    </row>
    <row r="57" spans="1:33" x14ac:dyDescent="0.3">
      <c r="A57" s="4" t="s">
        <v>84</v>
      </c>
      <c r="B57" s="7">
        <f>SUMIFS('U.S. Voters (2012)'!$C$2:$C$256,'U.S. Voters (2012)'!$A$2:$A$256,$A57)</f>
        <v>9848000</v>
      </c>
      <c r="C57" s="7">
        <f>SUMIFS('U.S. Voters (2012)'!$D$2:$D$256,'U.S. Voters (2012)'!$A$2:$A$256,$A57)</f>
        <v>9451000</v>
      </c>
      <c r="D57" s="7">
        <f>SUMIFS('U.S. Voters (2012)'!$E$2:$E$256,'U.S. Voters (2012)'!$A$2:$A$256,$A57)</f>
        <v>6794000</v>
      </c>
      <c r="E57" s="7">
        <f>SUMIFS('U.S. Voters (2012)'!$F$2:$F$256,'U.S. Voters (2012)'!$A$2:$A$256,$A57)</f>
        <v>5824000</v>
      </c>
      <c r="F57" s="8">
        <f t="shared" si="8"/>
        <v>0.71886572849433927</v>
      </c>
      <c r="G57" s="8">
        <f t="shared" si="9"/>
        <v>0.85722696496909034</v>
      </c>
      <c r="H57" s="8">
        <f t="shared" si="10"/>
        <v>0.59138911454102361</v>
      </c>
      <c r="I57" s="7">
        <f t="shared" si="11"/>
        <v>2657000</v>
      </c>
      <c r="J57" s="8">
        <f t="shared" si="12"/>
        <v>0.28113427150566078</v>
      </c>
      <c r="K57" s="4">
        <f>COUNTIF($G$19:$G$69,"&gt;"&amp;G57)+COUNTIF($G$19:G57,G57)</f>
        <v>35</v>
      </c>
      <c r="L57" s="4">
        <f>COUNTIF($I$19:$I$69,"&gt;"&amp;I57)+COUNTIF($I$19:I57,I57)</f>
        <v>5</v>
      </c>
      <c r="M57" s="4">
        <f>COUNTIF($E$19:$E$69,"&gt;"&amp;E57)+COUNTIF($E$19:E57,E57)</f>
        <v>5</v>
      </c>
      <c r="N57" s="4">
        <f>COUNTIF($H$19:$H$69,"&gt;"&amp;H57)+COUNTIF($H$19:H57,H57)</f>
        <v>26</v>
      </c>
      <c r="O57" s="8">
        <f t="shared" si="13"/>
        <v>2</v>
      </c>
      <c r="P57" s="4">
        <f>COUNTIF($O$19:$O$69,"&lt;"&amp;O57)+COUNTIF($O$19:O57,O57)</f>
        <v>46</v>
      </c>
      <c r="Q57" s="4"/>
      <c r="R57" s="4"/>
      <c r="S57" s="4"/>
      <c r="T57" s="4"/>
      <c r="U57" s="4"/>
      <c r="V57" s="4"/>
      <c r="W57" s="4"/>
      <c r="X57" s="4"/>
      <c r="Y57" s="4"/>
      <c r="Z57" s="4"/>
      <c r="AA57" s="4"/>
      <c r="AB57" s="4"/>
      <c r="AC57" s="4"/>
      <c r="AD57" s="4"/>
      <c r="AE57" s="4"/>
      <c r="AF57" s="4"/>
      <c r="AG57" s="4"/>
    </row>
    <row r="58" spans="1:33" x14ac:dyDescent="0.3">
      <c r="A58" s="4" t="s">
        <v>85</v>
      </c>
      <c r="B58" s="7">
        <f>SUMIFS('U.S. Voters (2012)'!$C$2:$C$256,'U.S. Voters (2012)'!$A$2:$A$256,$A58)</f>
        <v>818000</v>
      </c>
      <c r="C58" s="7">
        <f>SUMIFS('U.S. Voters (2012)'!$D$2:$D$256,'U.S. Voters (2012)'!$A$2:$A$256,$A58)</f>
        <v>751000</v>
      </c>
      <c r="D58" s="7">
        <f>SUMIFS('U.S. Voters (2012)'!$E$2:$E$256,'U.S. Voters (2012)'!$A$2:$A$256,$A58)</f>
        <v>552000</v>
      </c>
      <c r="E58" s="7">
        <f>SUMIFS('U.S. Voters (2012)'!$F$2:$F$256,'U.S. Voters (2012)'!$A$2:$A$256,$A58)</f>
        <v>469000</v>
      </c>
      <c r="F58" s="8">
        <f t="shared" si="8"/>
        <v>0.73501997336884151</v>
      </c>
      <c r="G58" s="8">
        <f t="shared" si="9"/>
        <v>0.84963768115942029</v>
      </c>
      <c r="H58" s="8">
        <f t="shared" si="10"/>
        <v>0.57334963325183375</v>
      </c>
      <c r="I58" s="7">
        <f t="shared" si="11"/>
        <v>199000</v>
      </c>
      <c r="J58" s="8">
        <f t="shared" si="12"/>
        <v>0.26498002663115844</v>
      </c>
      <c r="K58" s="4">
        <f>COUNTIF($G$19:$G$69,"&gt;"&amp;G58)+COUNTIF($G$19:G58,G58)</f>
        <v>39</v>
      </c>
      <c r="L58" s="4">
        <f>COUNTIF($I$19:$I$69,"&gt;"&amp;I58)+COUNTIF($I$19:I58,I58)</f>
        <v>44</v>
      </c>
      <c r="M58" s="4">
        <f>COUNTIF($E$19:$E$69,"&gt;"&amp;E58)+COUNTIF($E$19:E58,E58)</f>
        <v>44</v>
      </c>
      <c r="N58" s="4">
        <f>COUNTIF($H$19:$H$69,"&gt;"&amp;H58)+COUNTIF($H$19:H58,H58)</f>
        <v>35</v>
      </c>
      <c r="O58" s="8">
        <f t="shared" si="13"/>
        <v>0.84963768115942029</v>
      </c>
      <c r="P58" s="4">
        <f>COUNTIF($O$19:$O$69,"&lt;"&amp;O58)+COUNTIF($O$19:O58,O58)</f>
        <v>5</v>
      </c>
      <c r="Q58" s="4"/>
      <c r="R58" s="4"/>
      <c r="S58" s="4"/>
      <c r="T58" s="4"/>
      <c r="U58" s="4"/>
      <c r="V58" s="4"/>
      <c r="W58" s="4"/>
      <c r="X58" s="4"/>
      <c r="Y58" s="4"/>
      <c r="Z58" s="4"/>
      <c r="AA58" s="4"/>
      <c r="AB58" s="4"/>
      <c r="AC58" s="4"/>
      <c r="AD58" s="4"/>
      <c r="AE58" s="4"/>
      <c r="AF58" s="4"/>
      <c r="AG58" s="4"/>
    </row>
    <row r="59" spans="1:33" x14ac:dyDescent="0.3">
      <c r="A59" s="4" t="s">
        <v>86</v>
      </c>
      <c r="B59" s="7">
        <f>SUMIFS('U.S. Voters (2012)'!$C$2:$C$256,'U.S. Voters (2012)'!$A$2:$A$256,$A59)</f>
        <v>3516000</v>
      </c>
      <c r="C59" s="7">
        <f>SUMIFS('U.S. Voters (2012)'!$D$2:$D$256,'U.S. Voters (2012)'!$A$2:$A$256,$A59)</f>
        <v>3381000</v>
      </c>
      <c r="D59" s="7">
        <f>SUMIFS('U.S. Voters (2012)'!$E$2:$E$256,'U.S. Voters (2012)'!$A$2:$A$256,$A59)</f>
        <v>2479000</v>
      </c>
      <c r="E59" s="7">
        <f>SUMIFS('U.S. Voters (2012)'!$F$2:$F$256,'U.S. Voters (2012)'!$A$2:$A$256,$A59)</f>
        <v>2187000</v>
      </c>
      <c r="F59" s="8">
        <f t="shared" si="8"/>
        <v>0.73321502514049097</v>
      </c>
      <c r="G59" s="8">
        <f t="shared" si="9"/>
        <v>0.88221056877773296</v>
      </c>
      <c r="H59" s="8">
        <f t="shared" si="10"/>
        <v>0.62201365187713309</v>
      </c>
      <c r="I59" s="7">
        <f t="shared" si="11"/>
        <v>902000</v>
      </c>
      <c r="J59" s="8">
        <f t="shared" si="12"/>
        <v>0.26678497485950903</v>
      </c>
      <c r="K59" s="4">
        <f>COUNTIF($G$19:$G$69,"&gt;"&amp;G59)+COUNTIF($G$19:G59,G59)</f>
        <v>25</v>
      </c>
      <c r="L59" s="4">
        <f>COUNTIF($I$19:$I$69,"&gt;"&amp;I59)+COUNTIF($I$19:I59,I59)</f>
        <v>24</v>
      </c>
      <c r="M59" s="4">
        <f>COUNTIF($E$19:$E$69,"&gt;"&amp;E59)+COUNTIF($E$19:E59,E59)</f>
        <v>23</v>
      </c>
      <c r="N59" s="4">
        <f>COUNTIF($H$19:$H$69,"&gt;"&amp;H59)+COUNTIF($H$19:H59,H59)</f>
        <v>16</v>
      </c>
      <c r="O59" s="8">
        <f t="shared" si="13"/>
        <v>0.88221056877773296</v>
      </c>
      <c r="P59" s="4">
        <f>COUNTIF($O$19:$O$69,"&lt;"&amp;O59)+COUNTIF($O$19:O59,O59)</f>
        <v>12</v>
      </c>
      <c r="Q59" s="4"/>
      <c r="R59" s="4"/>
      <c r="S59" s="4"/>
      <c r="T59" s="4"/>
      <c r="U59" s="4"/>
      <c r="V59" s="4"/>
      <c r="W59" s="4"/>
      <c r="X59" s="4"/>
      <c r="Y59" s="4"/>
      <c r="Z59" s="4"/>
      <c r="AA59" s="4"/>
      <c r="AB59" s="4"/>
      <c r="AC59" s="4"/>
      <c r="AD59" s="4"/>
      <c r="AE59" s="4"/>
      <c r="AF59" s="4"/>
      <c r="AG59" s="4"/>
    </row>
    <row r="60" spans="1:33" x14ac:dyDescent="0.3">
      <c r="A60" s="4" t="s">
        <v>87</v>
      </c>
      <c r="B60" s="7">
        <f>SUMIFS('U.S. Voters (2012)'!$C$2:$C$256,'U.S. Voters (2012)'!$A$2:$A$256,$A60)</f>
        <v>616000</v>
      </c>
      <c r="C60" s="7">
        <f>SUMIFS('U.S. Voters (2012)'!$D$2:$D$256,'U.S. Voters (2012)'!$A$2:$A$256,$A60)</f>
        <v>606000</v>
      </c>
      <c r="D60" s="7">
        <f>SUMIFS('U.S. Voters (2012)'!$E$2:$E$256,'U.S. Voters (2012)'!$A$2:$A$256,$A60)</f>
        <v>454000</v>
      </c>
      <c r="E60" s="7">
        <f>SUMIFS('U.S. Voters (2012)'!$F$2:$F$256,'U.S. Voters (2012)'!$A$2:$A$256,$A60)</f>
        <v>371000</v>
      </c>
      <c r="F60" s="8">
        <f t="shared" si="8"/>
        <v>0.74917491749174914</v>
      </c>
      <c r="G60" s="8">
        <f t="shared" si="9"/>
        <v>0.81718061674008813</v>
      </c>
      <c r="H60" s="8">
        <f t="shared" si="10"/>
        <v>0.60227272727272729</v>
      </c>
      <c r="I60" s="7">
        <f t="shared" si="11"/>
        <v>152000</v>
      </c>
      <c r="J60" s="8">
        <f t="shared" si="12"/>
        <v>0.25082508250825081</v>
      </c>
      <c r="K60" s="4">
        <f>COUNTIF($G$19:$G$69,"&gt;"&amp;G60)+COUNTIF($G$19:G60,G60)</f>
        <v>45</v>
      </c>
      <c r="L60" s="4">
        <f>COUNTIF($I$19:$I$69,"&gt;"&amp;I60)+COUNTIF($I$19:I60,I60)</f>
        <v>46</v>
      </c>
      <c r="M60" s="4">
        <f>COUNTIF($E$19:$E$69,"&gt;"&amp;E60)+COUNTIF($E$19:E60,E60)</f>
        <v>46</v>
      </c>
      <c r="N60" s="4">
        <f>COUNTIF($H$19:$H$69,"&gt;"&amp;H60)+COUNTIF($H$19:H60,H60)</f>
        <v>24</v>
      </c>
      <c r="O60" s="8">
        <f t="shared" si="13"/>
        <v>0.81718061674008813</v>
      </c>
      <c r="P60" s="4">
        <f>COUNTIF($O$19:$O$69,"&lt;"&amp;O60)+COUNTIF($O$19:O60,O60)</f>
        <v>1</v>
      </c>
      <c r="Q60" s="4"/>
      <c r="R60" s="4"/>
      <c r="S60" s="4"/>
      <c r="T60" s="4"/>
      <c r="U60" s="4"/>
      <c r="V60" s="4"/>
      <c r="W60" s="4"/>
      <c r="X60" s="4"/>
      <c r="Y60" s="4"/>
      <c r="Z60" s="4"/>
      <c r="AA60" s="4"/>
      <c r="AB60" s="4"/>
      <c r="AC60" s="4"/>
      <c r="AD60" s="4"/>
      <c r="AE60" s="4"/>
      <c r="AF60" s="4"/>
      <c r="AG60" s="4"/>
    </row>
    <row r="61" spans="1:33" x14ac:dyDescent="0.3">
      <c r="A61" s="4" t="s">
        <v>88</v>
      </c>
      <c r="B61" s="7">
        <f>SUMIFS('U.S. Voters (2012)'!$C$2:$C$256,'U.S. Voters (2012)'!$A$2:$A$256,$A61)</f>
        <v>4849000</v>
      </c>
      <c r="C61" s="7">
        <f>SUMIFS('U.S. Voters (2012)'!$D$2:$D$256,'U.S. Voters (2012)'!$A$2:$A$256,$A61)</f>
        <v>4678000</v>
      </c>
      <c r="D61" s="7">
        <f>SUMIFS('U.S. Voters (2012)'!$E$2:$E$256,'U.S. Voters (2012)'!$A$2:$A$256,$A61)</f>
        <v>3211000</v>
      </c>
      <c r="E61" s="7">
        <f>SUMIFS('U.S. Voters (2012)'!$F$2:$F$256,'U.S. Voters (2012)'!$A$2:$A$256,$A61)</f>
        <v>2606000</v>
      </c>
      <c r="F61" s="8">
        <f t="shared" si="8"/>
        <v>0.68640444634459175</v>
      </c>
      <c r="G61" s="8">
        <f t="shared" si="9"/>
        <v>0.81158517595764557</v>
      </c>
      <c r="H61" s="8">
        <f t="shared" si="10"/>
        <v>0.53743039802021031</v>
      </c>
      <c r="I61" s="7">
        <f t="shared" si="11"/>
        <v>1467000</v>
      </c>
      <c r="J61" s="8">
        <f t="shared" si="12"/>
        <v>0.31359555365540831</v>
      </c>
      <c r="K61" s="4">
        <f>COUNTIF($G$19:$G$69,"&gt;"&amp;G61)+COUNTIF($G$19:G61,G61)</f>
        <v>47</v>
      </c>
      <c r="L61" s="4">
        <f>COUNTIF($I$19:$I$69,"&gt;"&amp;I61)+COUNTIF($I$19:I61,I61)</f>
        <v>12</v>
      </c>
      <c r="M61" s="4">
        <f>COUNTIF($E$19:$E$69,"&gt;"&amp;E61)+COUNTIF($E$19:E61,E61)</f>
        <v>20</v>
      </c>
      <c r="N61" s="4">
        <f>COUNTIF($H$19:$H$69,"&gt;"&amp;H61)+COUNTIF($H$19:H61,H61)</f>
        <v>41</v>
      </c>
      <c r="O61" s="8">
        <f t="shared" si="13"/>
        <v>2</v>
      </c>
      <c r="P61" s="4">
        <f>COUNTIF($O$19:$O$69,"&lt;"&amp;O61)+COUNTIF($O$19:O61,O61)</f>
        <v>47</v>
      </c>
      <c r="Q61" s="4"/>
      <c r="R61" s="4"/>
      <c r="S61" s="4"/>
      <c r="T61" s="4"/>
      <c r="U61" s="4"/>
      <c r="V61" s="4"/>
      <c r="W61" s="4"/>
      <c r="X61" s="4"/>
      <c r="Y61" s="4"/>
      <c r="Z61" s="4"/>
      <c r="AA61" s="4"/>
      <c r="AB61" s="4"/>
      <c r="AC61" s="4"/>
      <c r="AD61" s="4"/>
      <c r="AE61" s="4"/>
      <c r="AF61" s="4"/>
      <c r="AG61" s="4"/>
    </row>
    <row r="62" spans="1:33" x14ac:dyDescent="0.3">
      <c r="A62" s="4" t="s">
        <v>89</v>
      </c>
      <c r="B62" s="7">
        <f>SUMIFS('U.S. Voters (2012)'!$C$2:$C$256,'U.S. Voters (2012)'!$A$2:$A$256,$A62)</f>
        <v>18642000</v>
      </c>
      <c r="C62" s="7">
        <f>SUMIFS('U.S. Voters (2012)'!$D$2:$D$256,'U.S. Voters (2012)'!$A$2:$A$256,$A62)</f>
        <v>16062000</v>
      </c>
      <c r="D62" s="7">
        <f>SUMIFS('U.S. Voters (2012)'!$E$2:$E$256,'U.S. Voters (2012)'!$A$2:$A$256,$A62)</f>
        <v>10750000</v>
      </c>
      <c r="E62" s="7">
        <f>SUMIFS('U.S. Voters (2012)'!$F$2:$F$256,'U.S. Voters (2012)'!$A$2:$A$256,$A62)</f>
        <v>8643000</v>
      </c>
      <c r="F62" s="8">
        <f t="shared" si="8"/>
        <v>0.66928153405553481</v>
      </c>
      <c r="G62" s="8">
        <f t="shared" si="9"/>
        <v>0.80400000000000005</v>
      </c>
      <c r="H62" s="8">
        <f t="shared" si="10"/>
        <v>0.46363051174766656</v>
      </c>
      <c r="I62" s="7">
        <f t="shared" si="11"/>
        <v>5312000</v>
      </c>
      <c r="J62" s="8">
        <f t="shared" si="12"/>
        <v>0.33071846594446519</v>
      </c>
      <c r="K62" s="4">
        <f>COUNTIF($G$19:$G$69,"&gt;"&amp;G62)+COUNTIF($G$19:G62,G62)</f>
        <v>48</v>
      </c>
      <c r="L62" s="4">
        <f>COUNTIF($I$19:$I$69,"&gt;"&amp;I62)+COUNTIF($I$19:I62,I62)</f>
        <v>2</v>
      </c>
      <c r="M62" s="4">
        <f>COUNTIF($E$19:$E$69,"&gt;"&amp;E62)+COUNTIF($E$19:E62,E62)</f>
        <v>2</v>
      </c>
      <c r="N62" s="4">
        <f>COUNTIF($H$19:$H$69,"&gt;"&amp;H62)+COUNTIF($H$19:H62,H62)</f>
        <v>51</v>
      </c>
      <c r="O62" s="8">
        <f t="shared" si="13"/>
        <v>2</v>
      </c>
      <c r="P62" s="4">
        <f>COUNTIF($O$19:$O$69,"&lt;"&amp;O62)+COUNTIF($O$19:O62,O62)</f>
        <v>48</v>
      </c>
      <c r="Q62" s="4"/>
      <c r="R62" s="4"/>
      <c r="S62" s="4"/>
      <c r="T62" s="4"/>
      <c r="U62" s="4"/>
      <c r="V62" s="4"/>
      <c r="W62" s="4"/>
      <c r="X62" s="4"/>
      <c r="Y62" s="4"/>
      <c r="Z62" s="4"/>
      <c r="AA62" s="4"/>
      <c r="AB62" s="4"/>
      <c r="AC62" s="4"/>
      <c r="AD62" s="4"/>
      <c r="AE62" s="4"/>
      <c r="AF62" s="4"/>
      <c r="AG62" s="4"/>
    </row>
    <row r="63" spans="1:33" x14ac:dyDescent="0.3">
      <c r="A63" s="4" t="s">
        <v>90</v>
      </c>
      <c r="B63" s="7">
        <f>SUMIFS('U.S. Voters (2012)'!$C$2:$C$256,'U.S. Voters (2012)'!$A$2:$A$256,$A63)</f>
        <v>1916000</v>
      </c>
      <c r="C63" s="7">
        <f>SUMIFS('U.S. Voters (2012)'!$D$2:$D$256,'U.S. Voters (2012)'!$A$2:$A$256,$A63)</f>
        <v>1793000</v>
      </c>
      <c r="D63" s="7">
        <f>SUMIFS('U.S. Voters (2012)'!$E$2:$E$256,'U.S. Voters (2012)'!$A$2:$A$256,$A63)</f>
        <v>1137000</v>
      </c>
      <c r="E63" s="7">
        <f>SUMIFS('U.S. Voters (2012)'!$F$2:$F$256,'U.S. Voters (2012)'!$A$2:$A$256,$A63)</f>
        <v>1022000</v>
      </c>
      <c r="F63" s="8">
        <f t="shared" si="8"/>
        <v>0.63413273842721696</v>
      </c>
      <c r="G63" s="8">
        <f t="shared" si="9"/>
        <v>0.89885664028144241</v>
      </c>
      <c r="H63" s="8">
        <f t="shared" si="10"/>
        <v>0.53340292275574108</v>
      </c>
      <c r="I63" s="7">
        <f t="shared" si="11"/>
        <v>656000</v>
      </c>
      <c r="J63" s="8">
        <f t="shared" si="12"/>
        <v>0.36586726157278304</v>
      </c>
      <c r="K63" s="4">
        <f>COUNTIF($G$19:$G$69,"&gt;"&amp;G63)+COUNTIF($G$19:G63,G63)</f>
        <v>12</v>
      </c>
      <c r="L63" s="4">
        <f>COUNTIF($I$19:$I$69,"&gt;"&amp;I63)+COUNTIF($I$19:I63,I63)</f>
        <v>31</v>
      </c>
      <c r="M63" s="4">
        <f>COUNTIF($E$19:$E$69,"&gt;"&amp;E63)+COUNTIF($E$19:E63,E63)</f>
        <v>35</v>
      </c>
      <c r="N63" s="4">
        <f>COUNTIF($H$19:$H$69,"&gt;"&amp;H63)+COUNTIF($H$19:H63,H63)</f>
        <v>42</v>
      </c>
      <c r="O63" s="8">
        <f t="shared" si="13"/>
        <v>2</v>
      </c>
      <c r="P63" s="4">
        <f>COUNTIF($O$19:$O$69,"&lt;"&amp;O63)+COUNTIF($O$19:O63,O63)</f>
        <v>49</v>
      </c>
      <c r="Q63" s="4"/>
      <c r="R63" s="4"/>
      <c r="S63" s="4"/>
      <c r="T63" s="4"/>
      <c r="U63" s="4"/>
      <c r="V63" s="4"/>
      <c r="W63" s="4"/>
      <c r="X63" s="4"/>
      <c r="Y63" s="4"/>
      <c r="Z63" s="4"/>
      <c r="AA63" s="4"/>
      <c r="AB63" s="4"/>
      <c r="AC63" s="4"/>
      <c r="AD63" s="4"/>
      <c r="AE63" s="4"/>
      <c r="AF63" s="4"/>
      <c r="AG63" s="4"/>
    </row>
    <row r="64" spans="1:33" x14ac:dyDescent="0.3">
      <c r="A64" s="4" t="s">
        <v>91</v>
      </c>
      <c r="B64" s="7">
        <f>SUMIFS('U.S. Voters (2012)'!$C$2:$C$256,'U.S. Voters (2012)'!$A$2:$A$256,$A64)</f>
        <v>496000</v>
      </c>
      <c r="C64" s="7">
        <f>SUMIFS('U.S. Voters (2012)'!$D$2:$D$256,'U.S. Voters (2012)'!$A$2:$A$256,$A64)</f>
        <v>487000</v>
      </c>
      <c r="D64" s="7">
        <f>SUMIFS('U.S. Voters (2012)'!$E$2:$E$256,'U.S. Voters (2012)'!$A$2:$A$256,$A64)</f>
        <v>356000</v>
      </c>
      <c r="E64" s="7">
        <f>SUMIFS('U.S. Voters (2012)'!$F$2:$F$256,'U.S. Voters (2012)'!$A$2:$A$256,$A64)</f>
        <v>307000</v>
      </c>
      <c r="F64" s="8">
        <f t="shared" si="8"/>
        <v>0.731006160164271</v>
      </c>
      <c r="G64" s="8">
        <f t="shared" si="9"/>
        <v>0.86235955056179781</v>
      </c>
      <c r="H64" s="8">
        <f t="shared" si="10"/>
        <v>0.61895161290322576</v>
      </c>
      <c r="I64" s="7">
        <f t="shared" si="11"/>
        <v>131000</v>
      </c>
      <c r="J64" s="8">
        <f t="shared" si="12"/>
        <v>0.26899383983572894</v>
      </c>
      <c r="K64" s="4">
        <f>COUNTIF($G$19:$G$69,"&gt;"&amp;G64)+COUNTIF($G$19:G64,G64)</f>
        <v>31</v>
      </c>
      <c r="L64" s="4">
        <f>COUNTIF($I$19:$I$69,"&gt;"&amp;I64)+COUNTIF($I$19:I64,I64)</f>
        <v>50</v>
      </c>
      <c r="M64" s="4">
        <f>COUNTIF($E$19:$E$69,"&gt;"&amp;E64)+COUNTIF($E$19:E64,E64)</f>
        <v>49</v>
      </c>
      <c r="N64" s="4">
        <f>COUNTIF($H$19:$H$69,"&gt;"&amp;H64)+COUNTIF($H$19:H64,H64)</f>
        <v>20</v>
      </c>
      <c r="O64" s="8">
        <f t="shared" si="13"/>
        <v>0.86235955056179781</v>
      </c>
      <c r="P64" s="4">
        <f>COUNTIF($O$19:$O$69,"&lt;"&amp;O64)+COUNTIF($O$19:O64,O64)</f>
        <v>10</v>
      </c>
      <c r="Q64" s="4"/>
      <c r="R64" s="4"/>
      <c r="S64" s="4"/>
      <c r="T64" s="4"/>
      <c r="U64" s="4"/>
      <c r="V64" s="4"/>
      <c r="W64" s="4"/>
      <c r="X64" s="4"/>
      <c r="Y64" s="4"/>
      <c r="Z64" s="4"/>
      <c r="AA64" s="4"/>
      <c r="AB64" s="4"/>
      <c r="AC64" s="4"/>
      <c r="AD64" s="4"/>
      <c r="AE64" s="4"/>
      <c r="AF64" s="4"/>
      <c r="AG64" s="4"/>
    </row>
    <row r="65" spans="1:33" x14ac:dyDescent="0.3">
      <c r="A65" s="4" t="s">
        <v>92</v>
      </c>
      <c r="B65" s="7">
        <f>SUMIFS('U.S. Voters (2012)'!$C$2:$C$256,'U.S. Voters (2012)'!$A$2:$A$256,$A65)</f>
        <v>6095000</v>
      </c>
      <c r="C65" s="7">
        <f>SUMIFS('U.S. Voters (2012)'!$D$2:$D$256,'U.S. Voters (2012)'!$A$2:$A$256,$A65)</f>
        <v>5646000</v>
      </c>
      <c r="D65" s="7">
        <f>SUMIFS('U.S. Voters (2012)'!$E$2:$E$256,'U.S. Voters (2012)'!$A$2:$A$256,$A65)</f>
        <v>4210000</v>
      </c>
      <c r="E65" s="7">
        <f>SUMIFS('U.S. Voters (2012)'!$F$2:$F$256,'U.S. Voters (2012)'!$A$2:$A$256,$A65)</f>
        <v>3778000</v>
      </c>
      <c r="F65" s="8">
        <f t="shared" si="8"/>
        <v>0.74566064470421534</v>
      </c>
      <c r="G65" s="8">
        <f t="shared" si="9"/>
        <v>0.89738717339667462</v>
      </c>
      <c r="H65" s="8">
        <f t="shared" si="10"/>
        <v>0.61985233798195238</v>
      </c>
      <c r="I65" s="7">
        <f t="shared" si="11"/>
        <v>1436000</v>
      </c>
      <c r="J65" s="8">
        <f t="shared" si="12"/>
        <v>0.25433935529578461</v>
      </c>
      <c r="K65" s="4">
        <f>COUNTIF($G$19:$G$69,"&gt;"&amp;G65)+COUNTIF($G$19:G65,G65)</f>
        <v>14</v>
      </c>
      <c r="L65" s="4">
        <f>COUNTIF($I$19:$I$69,"&gt;"&amp;I65)+COUNTIF($I$19:I65,I65)</f>
        <v>14</v>
      </c>
      <c r="M65" s="4">
        <f>COUNTIF($E$19:$E$69,"&gt;"&amp;E65)+COUNTIF($E$19:E65,E65)</f>
        <v>11</v>
      </c>
      <c r="N65" s="4">
        <f>COUNTIF($H$19:$H$69,"&gt;"&amp;H65)+COUNTIF($H$19:H65,H65)</f>
        <v>19</v>
      </c>
      <c r="O65" s="8">
        <f t="shared" si="13"/>
        <v>0.89738717339667462</v>
      </c>
      <c r="P65" s="4">
        <f>COUNTIF($O$19:$O$69,"&lt;"&amp;O65)+COUNTIF($O$19:O65,O65)</f>
        <v>17</v>
      </c>
      <c r="Q65" s="4"/>
      <c r="R65" s="4"/>
      <c r="S65" s="4"/>
      <c r="T65" s="4"/>
      <c r="U65" s="4"/>
      <c r="V65" s="4"/>
      <c r="W65" s="4"/>
      <c r="X65" s="4"/>
      <c r="Y65" s="4"/>
      <c r="Z65" s="4"/>
      <c r="AA65" s="4"/>
      <c r="AB65" s="4"/>
      <c r="AC65" s="4"/>
      <c r="AD65" s="4"/>
      <c r="AE65" s="4"/>
      <c r="AF65" s="4"/>
      <c r="AG65" s="4"/>
    </row>
    <row r="66" spans="1:33" x14ac:dyDescent="0.3">
      <c r="A66" s="4" t="s">
        <v>93</v>
      </c>
      <c r="B66" s="7">
        <f>SUMIFS('U.S. Voters (2012)'!$C$2:$C$256,'U.S. Voters (2012)'!$A$2:$A$256,$A66)</f>
        <v>5230000</v>
      </c>
      <c r="C66" s="7">
        <f>SUMIFS('U.S. Voters (2012)'!$D$2:$D$256,'U.S. Voters (2012)'!$A$2:$A$256,$A66)</f>
        <v>4833000</v>
      </c>
      <c r="D66" s="7">
        <f>SUMIFS('U.S. Voters (2012)'!$E$2:$E$256,'U.S. Voters (2012)'!$A$2:$A$256,$A66)</f>
        <v>3533000</v>
      </c>
      <c r="E66" s="7">
        <f>SUMIFS('U.S. Voters (2012)'!$F$2:$F$256,'U.S. Voters (2012)'!$A$2:$A$256,$A66)</f>
        <v>3172000</v>
      </c>
      <c r="F66" s="8">
        <f t="shared" si="8"/>
        <v>0.73101593213325056</v>
      </c>
      <c r="G66" s="8">
        <f t="shared" si="9"/>
        <v>0.89782054910840647</v>
      </c>
      <c r="H66" s="8">
        <f t="shared" si="10"/>
        <v>0.60650095602294452</v>
      </c>
      <c r="I66" s="7">
        <f t="shared" si="11"/>
        <v>1300000</v>
      </c>
      <c r="J66" s="8">
        <f t="shared" si="12"/>
        <v>0.26898406786674944</v>
      </c>
      <c r="K66" s="4">
        <f>COUNTIF($G$19:$G$69,"&gt;"&amp;G66)+COUNTIF($G$19:G66,G66)</f>
        <v>13</v>
      </c>
      <c r="L66" s="4">
        <f>COUNTIF($I$19:$I$69,"&gt;"&amp;I66)+COUNTIF($I$19:I66,I66)</f>
        <v>16</v>
      </c>
      <c r="M66" s="4">
        <f>COUNTIF($E$19:$E$69,"&gt;"&amp;E66)+COUNTIF($E$19:E66,E66)</f>
        <v>14</v>
      </c>
      <c r="N66" s="4">
        <f>COUNTIF($H$19:$H$69,"&gt;"&amp;H66)+COUNTIF($H$19:H66,H66)</f>
        <v>22</v>
      </c>
      <c r="O66" s="8">
        <f t="shared" si="13"/>
        <v>0.89782054910840647</v>
      </c>
      <c r="P66" s="4">
        <f>COUNTIF($O$19:$O$69,"&lt;"&amp;O66)+COUNTIF($O$19:O66,O66)</f>
        <v>18</v>
      </c>
      <c r="Q66" s="4"/>
      <c r="R66" s="4"/>
      <c r="S66" s="4"/>
      <c r="T66" s="4"/>
      <c r="U66" s="4"/>
      <c r="V66" s="4"/>
      <c r="W66" s="4"/>
      <c r="X66" s="4"/>
      <c r="Y66" s="4"/>
      <c r="Z66" s="4"/>
      <c r="AA66" s="4"/>
      <c r="AB66" s="4"/>
      <c r="AC66" s="4"/>
      <c r="AD66" s="4"/>
      <c r="AE66" s="4"/>
      <c r="AF66" s="4"/>
      <c r="AG66" s="4"/>
    </row>
    <row r="67" spans="1:33" x14ac:dyDescent="0.3">
      <c r="A67" s="4" t="s">
        <v>94</v>
      </c>
      <c r="B67" s="7">
        <f>SUMIFS('U.S. Voters (2012)'!$C$2:$C$256,'U.S. Voters (2012)'!$A$2:$A$256,$A67)</f>
        <v>1453000</v>
      </c>
      <c r="C67" s="7">
        <f>SUMIFS('U.S. Voters (2012)'!$D$2:$D$256,'U.S. Voters (2012)'!$A$2:$A$256,$A67)</f>
        <v>1443000</v>
      </c>
      <c r="D67" s="7">
        <f>SUMIFS('U.S. Voters (2012)'!$E$2:$E$256,'U.S. Voters (2012)'!$A$2:$A$256,$A67)</f>
        <v>983000</v>
      </c>
      <c r="E67" s="7">
        <f>SUMIFS('U.S. Voters (2012)'!$F$2:$F$256,'U.S. Voters (2012)'!$A$2:$A$256,$A67)</f>
        <v>689000</v>
      </c>
      <c r="F67" s="8">
        <f t="shared" si="8"/>
        <v>0.68121968121968124</v>
      </c>
      <c r="G67" s="8">
        <f t="shared" si="9"/>
        <v>0.70091556459816884</v>
      </c>
      <c r="H67" s="8">
        <f t="shared" si="10"/>
        <v>0.47419132828630423</v>
      </c>
      <c r="I67" s="7">
        <f t="shared" si="11"/>
        <v>460000</v>
      </c>
      <c r="J67" s="8">
        <f t="shared" si="12"/>
        <v>0.31878031878031876</v>
      </c>
      <c r="K67" s="4">
        <f>COUNTIF($G$19:$G$69,"&gt;"&amp;G67)+COUNTIF($G$19:G67,G67)</f>
        <v>51</v>
      </c>
      <c r="L67" s="4">
        <f>COUNTIF($I$19:$I$69,"&gt;"&amp;I67)+COUNTIF($I$19:I67,I67)</f>
        <v>35</v>
      </c>
      <c r="M67" s="4">
        <f>COUNTIF($E$19:$E$69,"&gt;"&amp;E67)+COUNTIF($E$19:E67,E67)</f>
        <v>39</v>
      </c>
      <c r="N67" s="4">
        <f>COUNTIF($H$19:$H$69,"&gt;"&amp;H67)+COUNTIF($H$19:H67,H67)</f>
        <v>50</v>
      </c>
      <c r="O67" s="8">
        <f t="shared" si="13"/>
        <v>2</v>
      </c>
      <c r="P67" s="4">
        <f>COUNTIF($O$19:$O$69,"&lt;"&amp;O67)+COUNTIF($O$19:O67,O67)</f>
        <v>50</v>
      </c>
      <c r="Q67" s="4"/>
      <c r="R67" s="4"/>
      <c r="S67" s="4"/>
      <c r="T67" s="4"/>
      <c r="U67" s="4"/>
      <c r="V67" s="4"/>
      <c r="W67" s="4"/>
      <c r="X67" s="4"/>
      <c r="Y67" s="4"/>
      <c r="Z67" s="4"/>
      <c r="AA67" s="4"/>
      <c r="AB67" s="4"/>
      <c r="AC67" s="4"/>
      <c r="AD67" s="4"/>
      <c r="AE67" s="4"/>
      <c r="AF67" s="4"/>
      <c r="AG67" s="4"/>
    </row>
    <row r="68" spans="1:33" x14ac:dyDescent="0.3">
      <c r="A68" s="4" t="s">
        <v>95</v>
      </c>
      <c r="B68" s="7">
        <f>SUMIFS('U.S. Voters (2012)'!$C$2:$C$256,'U.S. Voters (2012)'!$A$2:$A$256,$A68)</f>
        <v>4351000</v>
      </c>
      <c r="C68" s="7">
        <f>SUMIFS('U.S. Voters (2012)'!$D$2:$D$256,'U.S. Voters (2012)'!$A$2:$A$256,$A68)</f>
        <v>4247000</v>
      </c>
      <c r="D68" s="7">
        <f>SUMIFS('U.S. Voters (2012)'!$E$2:$E$256,'U.S. Voters (2012)'!$A$2:$A$256,$A68)</f>
        <v>3318000</v>
      </c>
      <c r="E68" s="7">
        <f>SUMIFS('U.S. Voters (2012)'!$F$2:$F$256,'U.S. Voters (2012)'!$A$2:$A$256,$A68)</f>
        <v>3128000</v>
      </c>
      <c r="F68" s="8">
        <f t="shared" si="8"/>
        <v>0.78125735813515418</v>
      </c>
      <c r="G68" s="8">
        <f t="shared" si="9"/>
        <v>0.94273658830620854</v>
      </c>
      <c r="H68" s="8">
        <f t="shared" si="10"/>
        <v>0.71891519190990572</v>
      </c>
      <c r="I68" s="7">
        <f t="shared" si="11"/>
        <v>929000</v>
      </c>
      <c r="J68" s="8">
        <f t="shared" si="12"/>
        <v>0.21874264186484577</v>
      </c>
      <c r="K68" s="4">
        <f>COUNTIF($G$19:$G$69,"&gt;"&amp;G68)+COUNTIF($G$19:G68,G68)</f>
        <v>2</v>
      </c>
      <c r="L68" s="4">
        <f>COUNTIF($I$19:$I$69,"&gt;"&amp;I68)+COUNTIF($I$19:I68,I68)</f>
        <v>21</v>
      </c>
      <c r="M68" s="4">
        <f>COUNTIF($E$19:$E$69,"&gt;"&amp;E68)+COUNTIF($E$19:E68,E68)</f>
        <v>15</v>
      </c>
      <c r="N68" s="4">
        <f>COUNTIF($H$19:$H$69,"&gt;"&amp;H68)+COUNTIF($H$19:H68,H68)</f>
        <v>2</v>
      </c>
      <c r="O68" s="8">
        <f t="shared" si="13"/>
        <v>0.94273658830620854</v>
      </c>
      <c r="P68" s="4">
        <f>COUNTIF($O$19:$O$69,"&lt;"&amp;O68)+COUNTIF($O$19:O68,O68)</f>
        <v>25</v>
      </c>
      <c r="Q68" s="4"/>
      <c r="R68" s="4"/>
      <c r="S68" s="4"/>
      <c r="T68" s="4"/>
      <c r="U68" s="4"/>
      <c r="V68" s="4"/>
      <c r="W68" s="4"/>
      <c r="X68" s="4"/>
      <c r="Y68" s="4"/>
      <c r="Z68" s="4"/>
      <c r="AA68" s="4"/>
      <c r="AB68" s="4"/>
      <c r="AC68" s="4"/>
      <c r="AD68" s="4"/>
      <c r="AE68" s="4"/>
      <c r="AF68" s="4"/>
      <c r="AG68" s="4"/>
    </row>
    <row r="69" spans="1:33" x14ac:dyDescent="0.3">
      <c r="A69" s="4" t="s">
        <v>96</v>
      </c>
      <c r="B69" s="7">
        <f>SUMIFS('U.S. Voters (2012)'!$C$2:$C$256,'U.S. Voters (2012)'!$A$2:$A$256,$A69)</f>
        <v>426000</v>
      </c>
      <c r="C69" s="7">
        <f>SUMIFS('U.S. Voters (2012)'!$D$2:$D$256,'U.S. Voters (2012)'!$A$2:$A$256,$A69)</f>
        <v>419000</v>
      </c>
      <c r="D69" s="7">
        <f>SUMIFS('U.S. Voters (2012)'!$E$2:$E$256,'U.S. Voters (2012)'!$A$2:$A$256,$A69)</f>
        <v>268000</v>
      </c>
      <c r="E69" s="7">
        <f>SUMIFS('U.S. Voters (2012)'!$F$2:$F$256,'U.S. Voters (2012)'!$A$2:$A$256,$A69)</f>
        <v>247000</v>
      </c>
      <c r="F69" s="8">
        <f t="shared" si="8"/>
        <v>0.63961813842482096</v>
      </c>
      <c r="G69" s="8">
        <f t="shared" si="9"/>
        <v>0.92164179104477617</v>
      </c>
      <c r="H69" s="8">
        <f t="shared" si="10"/>
        <v>0.57981220657276999</v>
      </c>
      <c r="I69" s="7">
        <f t="shared" si="11"/>
        <v>151000</v>
      </c>
      <c r="J69" s="8">
        <f t="shared" si="12"/>
        <v>0.36038186157517899</v>
      </c>
      <c r="K69" s="4">
        <f>COUNTIF($G$19:$G$69,"&gt;"&amp;G69)+COUNTIF($G$19:G69,G69)</f>
        <v>4</v>
      </c>
      <c r="L69" s="4">
        <f>COUNTIF($I$19:$I$69,"&gt;"&amp;I69)+COUNTIF($I$19:I69,I69)</f>
        <v>47</v>
      </c>
      <c r="M69" s="4">
        <f>COUNTIF($E$19:$E$69,"&gt;"&amp;E69)+COUNTIF($E$19:E69,E69)</f>
        <v>51</v>
      </c>
      <c r="N69" s="4">
        <f>COUNTIF($H$19:$H$69,"&gt;"&amp;H69)+COUNTIF($H$19:H69,H69)</f>
        <v>31</v>
      </c>
      <c r="O69" s="8">
        <f t="shared" si="13"/>
        <v>2</v>
      </c>
      <c r="P69" s="4">
        <f>COUNTIF($O$19:$O$69,"&lt;"&amp;O69)+COUNTIF($O$19:O69,O69)</f>
        <v>51</v>
      </c>
      <c r="Q69" s="4"/>
      <c r="R69" s="4"/>
      <c r="S69" s="4"/>
      <c r="T69" s="4"/>
      <c r="U69" s="4"/>
      <c r="V69" s="4"/>
      <c r="W69" s="4"/>
      <c r="X69" s="4"/>
      <c r="Y69" s="4"/>
      <c r="Z69" s="4"/>
      <c r="AA69" s="4"/>
      <c r="AB69" s="4"/>
      <c r="AC69" s="4"/>
      <c r="AD69" s="4"/>
      <c r="AE69" s="4"/>
      <c r="AF69" s="4"/>
      <c r="AG69" s="4"/>
    </row>
    <row r="70" spans="1:33" x14ac:dyDescent="0.3">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row>
    <row r="71" spans="1:33"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row>
    <row r="72" spans="1:33" x14ac:dyDescent="0.3">
      <c r="A72" s="5" t="s">
        <v>97</v>
      </c>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row>
    <row r="73" spans="1:33" x14ac:dyDescent="0.3">
      <c r="A73" s="14" t="str">
        <f>"Highest-turnout age group: "&amp;INDEX(A9:A13,MATCH(MAX(G9:G13),G9:G13,0))&amp;" at "&amp;TEXT(MAX(G9:G13),"0.0%")&amp;" vs "&amp;INDEX(A9:A13,MATCH(MIN(G9:G13),G9:G13,0))&amp;" at "&amp;TEXT(MIN(G9:G13),"0.0%")</f>
        <v>Highest-turnout age group: 65+ at 90.7% vs 18 to 24 at 76.9%</v>
      </c>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row>
    <row r="74" spans="1:33" x14ac:dyDescent="0.3">
      <c r="A74" s="14" t="str">
        <f>"Largest share of confirmed voters: "&amp;INDEX(A9:A13,MATCH(MAX(I9:I13),I9:I13,0))&amp;" ("&amp;TEXT(MAX(I9:I13),"0.0%")&amp;")"</f>
        <v>Largest share of confirmed voters: 45 to 64 (39.1%)</v>
      </c>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row>
    <row r="75" spans="1:33" x14ac:dyDescent="0.3">
      <c r="A75" s="14" t="str">
        <f>"Top turnout state: "&amp;R19&amp;" ("&amp;TEXT(S19,"0.0%")&amp;"); biggest registration gap: "&amp;U19&amp;" ("&amp;TEXT(V19/1000000,"0.0")&amp;"M citizens unregistered)"</f>
        <v>Top turnout state: Colorado (94.7%); biggest registration gap: California (8.1M citizens unregistered)</v>
      </c>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row>
    <row r="76" spans="1:33" x14ac:dyDescent="0.3">
      <c r="A76" s="14" t="str">
        <f>"Most confirmed voters: "&amp;X19&amp;" ("&amp;TEXT(Y19/1000000,"0.0")&amp;"M); highest penetration: "&amp;AB19&amp;" ("&amp;TEXT(AC19,"0.0%")&amp;")"</f>
        <v>Most confirmed voters: California (13.5M); highest penetration: Mississippi (73.3%)</v>
      </c>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row>
    <row r="77" spans="1:33" x14ac:dyDescent="0.3">
      <c r="A77" s="14" t="str">
        <f>"National: "&amp;TEXT(E5,"0.0%")&amp;" of citizens registered, "&amp;TEXT(F5,"0.0%")&amp;" of registered confirmed, "&amp;TEXT(G5,"0.0%")&amp;" of total population confirmed"</f>
        <v>National: 71.2% of citizens registered, 86.8% of registered confirmed, 56.5% of total population confirmed</v>
      </c>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row>
  </sheetData>
  <conditionalFormatting sqref="B19:B69">
    <cfRule type="dataBar" priority="2">
      <dataBar>
        <cfvo type="min"/>
        <cfvo type="max"/>
        <color rgb="FFD6007B"/>
      </dataBar>
      <extLst>
        <ext xmlns:x14="http://schemas.microsoft.com/office/spreadsheetml/2009/9/main" uri="{B025F937-C7B1-47D3-B67F-A62EFF666E3E}">
          <x14:id>{E8A3934B-4ED5-4BD6-8AB3-EAE13B59F678}</x14:id>
        </ext>
      </extLst>
    </cfRule>
  </conditionalFormatting>
  <conditionalFormatting sqref="C19:E69">
    <cfRule type="dataBar" priority="1">
      <dataBar>
        <cfvo type="min"/>
        <cfvo type="max"/>
        <color rgb="FFD6007B"/>
      </dataBar>
      <extLst>
        <ext xmlns:x14="http://schemas.microsoft.com/office/spreadsheetml/2009/9/main" uri="{B025F937-C7B1-47D3-B67F-A62EFF666E3E}">
          <x14:id>{EFB0366A-5D63-4D41-BBF8-64E3756F4386}</x14:id>
        </ext>
      </extLst>
    </cfRule>
  </conditionalFormatting>
  <conditionalFormatting sqref="F19:F69">
    <cfRule type="colorScale" priority="5">
      <colorScale>
        <cfvo type="min"/>
        <cfvo type="max"/>
        <color rgb="FFFDE2E2"/>
        <color rgb="FF7BD3B0"/>
      </colorScale>
    </cfRule>
  </conditionalFormatting>
  <conditionalFormatting sqref="G19:G69">
    <cfRule type="colorScale" priority="4">
      <colorScale>
        <cfvo type="min"/>
        <cfvo type="max"/>
        <color rgb="FFFDE2E2"/>
        <color rgb="FF7BD3B0"/>
      </colorScale>
    </cfRule>
  </conditionalFormatting>
  <conditionalFormatting sqref="H19:H69">
    <cfRule type="dataBar" priority="6">
      <dataBar>
        <cfvo type="min"/>
        <cfvo type="max"/>
        <color rgb="FF5B9BD5"/>
      </dataBar>
      <extLst>
        <ext xmlns:x14="http://schemas.microsoft.com/office/spreadsheetml/2009/9/main" uri="{B025F937-C7B1-47D3-B67F-A62EFF666E3E}">
          <x14:id>{BC3AC3B6-5CD6-4BFA-BA20-E029FB1F7B41}</x14:id>
        </ext>
      </extLst>
    </cfRule>
  </conditionalFormatting>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E8A3934B-4ED5-4BD6-8AB3-EAE13B59F678}">
            <x14:dataBar minLength="0" maxLength="100" border="1" negativeBarBorderColorSameAsPositive="0">
              <x14:cfvo type="autoMin"/>
              <x14:cfvo type="autoMax"/>
              <x14:borderColor rgb="FFD6007B"/>
              <x14:negativeFillColor rgb="FFFF0000"/>
              <x14:negativeBorderColor rgb="FFFF0000"/>
              <x14:axisColor rgb="FF000000"/>
            </x14:dataBar>
          </x14:cfRule>
          <xm:sqref>B19:B69</xm:sqref>
        </x14:conditionalFormatting>
        <x14:conditionalFormatting xmlns:xm="http://schemas.microsoft.com/office/excel/2006/main">
          <x14:cfRule type="dataBar" id="{EFB0366A-5D63-4D41-BBF8-64E3756F4386}">
            <x14:dataBar minLength="0" maxLength="100" border="1" negativeBarBorderColorSameAsPositive="0">
              <x14:cfvo type="autoMin"/>
              <x14:cfvo type="autoMax"/>
              <x14:borderColor rgb="FFD6007B"/>
              <x14:negativeFillColor rgb="FFFF0000"/>
              <x14:negativeBorderColor rgb="FFFF0000"/>
              <x14:axisColor rgb="FF000000"/>
            </x14:dataBar>
          </x14:cfRule>
          <xm:sqref>C19:E69</xm:sqref>
        </x14:conditionalFormatting>
        <x14:conditionalFormatting xmlns:xm="http://schemas.microsoft.com/office/excel/2006/main">
          <x14:cfRule type="dataBar" id="{BC3AC3B6-5CD6-4BFA-BA20-E029FB1F7B41}">
            <x14:dataBar axisPosition="none">
              <x14:cfvo type="min"/>
              <x14:cfvo type="max"/>
              <x14:negativeFillColor rgb="FF5B9BD5"/>
            </x14:dataBar>
          </x14:cfRule>
          <xm:sqref>H19:H69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546A"/>
  </sheetPr>
  <dimension ref="A1:I1000"/>
  <sheetViews>
    <sheetView topLeftCell="B1" zoomScale="62" zoomScaleNormal="100" workbookViewId="0">
      <selection activeCell="H39" sqref="H39"/>
    </sheetView>
  </sheetViews>
  <sheetFormatPr defaultColWidth="14.44140625" defaultRowHeight="14.4" x14ac:dyDescent="0.3"/>
  <cols>
    <col min="1" max="2" width="18.5546875" customWidth="1"/>
    <col min="3" max="3" width="19" customWidth="1"/>
    <col min="4" max="4" width="23.33203125" customWidth="1"/>
    <col min="5" max="5" width="18.109375" customWidth="1"/>
    <col min="6" max="6" width="15.6640625" customWidth="1"/>
    <col min="7" max="7" width="8.6640625" customWidth="1"/>
    <col min="8" max="8" width="16" customWidth="1"/>
    <col min="9" max="9" width="18.21875" bestFit="1" customWidth="1"/>
    <col min="10" max="10" width="30.44140625" bestFit="1" customWidth="1"/>
    <col min="11" max="11" width="30" bestFit="1" customWidth="1"/>
    <col min="12" max="26" width="8.6640625" customWidth="1"/>
  </cols>
  <sheetData>
    <row r="1" spans="1:9" ht="14.25" customHeight="1" x14ac:dyDescent="0.3">
      <c r="A1" s="15" t="s">
        <v>33</v>
      </c>
      <c r="B1" s="15" t="s">
        <v>19</v>
      </c>
      <c r="C1" s="16" t="s">
        <v>98</v>
      </c>
      <c r="D1" s="16" t="s">
        <v>99</v>
      </c>
      <c r="E1" s="16" t="s">
        <v>100</v>
      </c>
      <c r="F1" s="16" t="s">
        <v>101</v>
      </c>
      <c r="H1" s="41"/>
      <c r="I1" s="41"/>
    </row>
    <row r="2" spans="1:9" ht="14.25" customHeight="1" x14ac:dyDescent="0.3">
      <c r="A2" s="21" t="s">
        <v>46</v>
      </c>
      <c r="B2" s="17" t="s">
        <v>21</v>
      </c>
      <c r="C2" s="17">
        <v>439000</v>
      </c>
      <c r="D2" s="17">
        <v>428000</v>
      </c>
      <c r="E2" s="17">
        <v>212000</v>
      </c>
      <c r="F2" s="17">
        <v>155000</v>
      </c>
      <c r="H2" s="21"/>
    </row>
    <row r="3" spans="1:9" ht="14.25" customHeight="1" x14ac:dyDescent="0.3">
      <c r="A3" s="17" t="s">
        <v>46</v>
      </c>
      <c r="B3" s="17" t="s">
        <v>22</v>
      </c>
      <c r="C3" s="17">
        <v>576000</v>
      </c>
      <c r="D3" s="17">
        <v>535000</v>
      </c>
      <c r="E3" s="17">
        <v>359000</v>
      </c>
      <c r="F3" s="17">
        <v>271000</v>
      </c>
      <c r="H3" s="17"/>
    </row>
    <row r="4" spans="1:9" ht="14.25" customHeight="1" x14ac:dyDescent="0.3">
      <c r="A4" s="17" t="s">
        <v>46</v>
      </c>
      <c r="B4" s="17" t="s">
        <v>23</v>
      </c>
      <c r="C4" s="17">
        <v>615000</v>
      </c>
      <c r="D4" s="17">
        <v>582000</v>
      </c>
      <c r="E4" s="17">
        <v>410000</v>
      </c>
      <c r="F4" s="17">
        <v>330000</v>
      </c>
      <c r="H4" s="17"/>
    </row>
    <row r="5" spans="1:9" ht="14.25" customHeight="1" x14ac:dyDescent="0.3">
      <c r="A5" s="17" t="s">
        <v>46</v>
      </c>
      <c r="B5" s="17" t="s">
        <v>24</v>
      </c>
      <c r="C5" s="17">
        <v>1297000</v>
      </c>
      <c r="D5" s="17">
        <v>1275000</v>
      </c>
      <c r="E5" s="17">
        <v>1051000</v>
      </c>
      <c r="F5" s="17">
        <v>939000</v>
      </c>
      <c r="H5" s="17"/>
    </row>
    <row r="6" spans="1:9" ht="14.25" customHeight="1" x14ac:dyDescent="0.3">
      <c r="A6" s="17" t="s">
        <v>46</v>
      </c>
      <c r="B6" s="17" t="s">
        <v>25</v>
      </c>
      <c r="C6" s="17">
        <v>667000</v>
      </c>
      <c r="D6" s="17">
        <v>660000</v>
      </c>
      <c r="E6" s="17">
        <v>523000</v>
      </c>
      <c r="F6" s="17">
        <v>459000</v>
      </c>
      <c r="H6" s="17"/>
    </row>
    <row r="7" spans="1:9" ht="14.25" customHeight="1" x14ac:dyDescent="0.3">
      <c r="A7" s="17" t="s">
        <v>47</v>
      </c>
      <c r="B7" s="17" t="s">
        <v>21</v>
      </c>
      <c r="C7" s="17">
        <v>63000</v>
      </c>
      <c r="D7" s="17">
        <v>61000</v>
      </c>
      <c r="E7" s="17">
        <v>31000</v>
      </c>
      <c r="F7" s="17">
        <v>20000</v>
      </c>
      <c r="H7" s="17"/>
    </row>
    <row r="8" spans="1:9" ht="14.25" customHeight="1" x14ac:dyDescent="0.3">
      <c r="A8" s="17" t="s">
        <v>47</v>
      </c>
      <c r="B8" s="17" t="s">
        <v>22</v>
      </c>
      <c r="C8" s="17">
        <v>109000</v>
      </c>
      <c r="D8" s="17">
        <v>103000</v>
      </c>
      <c r="E8" s="17">
        <v>70000</v>
      </c>
      <c r="F8" s="17">
        <v>46000</v>
      </c>
      <c r="H8" s="17"/>
    </row>
    <row r="9" spans="1:9" ht="14.25" customHeight="1" x14ac:dyDescent="0.3">
      <c r="A9" s="17" t="s">
        <v>47</v>
      </c>
      <c r="B9" s="17" t="s">
        <v>23</v>
      </c>
      <c r="C9" s="17">
        <v>86000</v>
      </c>
      <c r="D9" s="17">
        <v>80000</v>
      </c>
      <c r="E9" s="17">
        <v>60000</v>
      </c>
      <c r="F9" s="17">
        <v>50000</v>
      </c>
      <c r="H9" s="17"/>
    </row>
    <row r="10" spans="1:9" ht="14.25" customHeight="1" x14ac:dyDescent="0.3">
      <c r="A10" s="17" t="s">
        <v>47</v>
      </c>
      <c r="B10" s="17" t="s">
        <v>24</v>
      </c>
      <c r="C10" s="17">
        <v>186000</v>
      </c>
      <c r="D10" s="17">
        <v>182000</v>
      </c>
      <c r="E10" s="17">
        <v>144000</v>
      </c>
      <c r="F10" s="17">
        <v>122000</v>
      </c>
      <c r="H10" s="17"/>
    </row>
    <row r="11" spans="1:9" ht="14.25" customHeight="1" x14ac:dyDescent="0.3">
      <c r="A11" s="17" t="s">
        <v>47</v>
      </c>
      <c r="B11" s="17" t="s">
        <v>25</v>
      </c>
      <c r="C11" s="17">
        <v>72000</v>
      </c>
      <c r="D11" s="17">
        <v>69000</v>
      </c>
      <c r="E11" s="17">
        <v>55000</v>
      </c>
      <c r="F11" s="17">
        <v>51000</v>
      </c>
      <c r="H11" s="17"/>
    </row>
    <row r="12" spans="1:9" ht="14.25" customHeight="1" x14ac:dyDescent="0.3">
      <c r="A12" s="17" t="s">
        <v>48</v>
      </c>
      <c r="B12" s="17" t="s">
        <v>21</v>
      </c>
      <c r="C12" s="17">
        <v>586000</v>
      </c>
      <c r="D12" s="17">
        <v>545000</v>
      </c>
      <c r="E12" s="17">
        <v>301000</v>
      </c>
      <c r="F12" s="17">
        <v>234000</v>
      </c>
      <c r="H12" s="17"/>
    </row>
    <row r="13" spans="1:9" ht="14.25" customHeight="1" x14ac:dyDescent="0.3">
      <c r="A13" s="17" t="s">
        <v>48</v>
      </c>
      <c r="B13" s="17" t="s">
        <v>22</v>
      </c>
      <c r="C13" s="17">
        <v>859000</v>
      </c>
      <c r="D13" s="17">
        <v>709000</v>
      </c>
      <c r="E13" s="17">
        <v>399000</v>
      </c>
      <c r="F13" s="17">
        <v>289000</v>
      </c>
      <c r="H13" s="17"/>
    </row>
    <row r="14" spans="1:9" ht="14.25" customHeight="1" x14ac:dyDescent="0.3">
      <c r="A14" s="17" t="s">
        <v>48</v>
      </c>
      <c r="B14" s="17" t="s">
        <v>23</v>
      </c>
      <c r="C14" s="17">
        <v>870000</v>
      </c>
      <c r="D14" s="17">
        <v>713000</v>
      </c>
      <c r="E14" s="17">
        <v>437000</v>
      </c>
      <c r="F14" s="17">
        <v>382000</v>
      </c>
      <c r="H14" s="17"/>
    </row>
    <row r="15" spans="1:9" ht="14.25" customHeight="1" x14ac:dyDescent="0.3">
      <c r="A15" s="17" t="s">
        <v>48</v>
      </c>
      <c r="B15" s="17" t="s">
        <v>24</v>
      </c>
      <c r="C15" s="17">
        <v>1656000</v>
      </c>
      <c r="D15" s="17">
        <v>1502000</v>
      </c>
      <c r="E15" s="17">
        <v>1015000</v>
      </c>
      <c r="F15" s="17">
        <v>901000</v>
      </c>
      <c r="H15" s="17"/>
    </row>
    <row r="16" spans="1:9" ht="14.25" customHeight="1" x14ac:dyDescent="0.3">
      <c r="A16" s="17" t="s">
        <v>48</v>
      </c>
      <c r="B16" s="17" t="s">
        <v>25</v>
      </c>
      <c r="C16" s="17">
        <v>892000</v>
      </c>
      <c r="D16" s="17">
        <v>846000</v>
      </c>
      <c r="E16" s="17">
        <v>659000</v>
      </c>
      <c r="F16" s="17">
        <v>606000</v>
      </c>
      <c r="H16" s="17"/>
    </row>
    <row r="17" spans="1:8" ht="14.25" customHeight="1" x14ac:dyDescent="0.3">
      <c r="A17" s="17" t="s">
        <v>49</v>
      </c>
      <c r="B17" s="17" t="s">
        <v>21</v>
      </c>
      <c r="C17" s="17">
        <v>288000</v>
      </c>
      <c r="D17" s="17">
        <v>281000</v>
      </c>
      <c r="E17" s="17">
        <v>126000</v>
      </c>
      <c r="F17" s="17">
        <v>70000</v>
      </c>
      <c r="H17" s="17"/>
    </row>
    <row r="18" spans="1:8" ht="14.25" customHeight="1" x14ac:dyDescent="0.3">
      <c r="A18" s="17" t="s">
        <v>49</v>
      </c>
      <c r="B18" s="17" t="s">
        <v>22</v>
      </c>
      <c r="C18" s="17">
        <v>362000</v>
      </c>
      <c r="D18" s="17">
        <v>336000</v>
      </c>
      <c r="E18" s="17">
        <v>194000</v>
      </c>
      <c r="F18" s="17">
        <v>140000</v>
      </c>
      <c r="H18" s="17"/>
    </row>
    <row r="19" spans="1:8" ht="14.25" customHeight="1" x14ac:dyDescent="0.3">
      <c r="A19" s="17" t="s">
        <v>49</v>
      </c>
      <c r="B19" s="17" t="s">
        <v>23</v>
      </c>
      <c r="C19" s="17">
        <v>357000</v>
      </c>
      <c r="D19" s="17">
        <v>341000</v>
      </c>
      <c r="E19" s="17">
        <v>234000</v>
      </c>
      <c r="F19" s="17">
        <v>205000</v>
      </c>
      <c r="H19" s="17"/>
    </row>
    <row r="20" spans="1:8" ht="14.25" customHeight="1" x14ac:dyDescent="0.3">
      <c r="A20" s="17" t="s">
        <v>49</v>
      </c>
      <c r="B20" s="17" t="s">
        <v>24</v>
      </c>
      <c r="C20" s="17">
        <v>742000</v>
      </c>
      <c r="D20" s="17">
        <v>704000</v>
      </c>
      <c r="E20" s="17">
        <v>498000</v>
      </c>
      <c r="F20" s="17">
        <v>442000</v>
      </c>
      <c r="H20" s="17"/>
    </row>
    <row r="21" spans="1:8" ht="15.75" customHeight="1" x14ac:dyDescent="0.3">
      <c r="A21" s="17" t="s">
        <v>49</v>
      </c>
      <c r="B21" s="17" t="s">
        <v>25</v>
      </c>
      <c r="C21" s="17">
        <v>449000</v>
      </c>
      <c r="D21" s="17">
        <v>448000</v>
      </c>
      <c r="E21" s="17">
        <v>324000</v>
      </c>
      <c r="F21" s="17">
        <v>267000</v>
      </c>
      <c r="H21" s="17"/>
    </row>
    <row r="22" spans="1:8" ht="15.75" customHeight="1" x14ac:dyDescent="0.3">
      <c r="A22" s="17" t="s">
        <v>50</v>
      </c>
      <c r="B22" s="17" t="s">
        <v>21</v>
      </c>
      <c r="C22" s="17">
        <v>3962000</v>
      </c>
      <c r="D22" s="17">
        <v>3479000</v>
      </c>
      <c r="E22" s="17">
        <v>1787000</v>
      </c>
      <c r="F22" s="17">
        <v>1447000</v>
      </c>
      <c r="H22" s="17"/>
    </row>
    <row r="23" spans="1:8" ht="15.75" customHeight="1" x14ac:dyDescent="0.3">
      <c r="A23" s="17" t="s">
        <v>50</v>
      </c>
      <c r="B23" s="17" t="s">
        <v>22</v>
      </c>
      <c r="C23" s="17">
        <v>5357000</v>
      </c>
      <c r="D23" s="17">
        <v>4153000</v>
      </c>
      <c r="E23" s="17">
        <v>2548000</v>
      </c>
      <c r="F23" s="17">
        <v>2070000</v>
      </c>
      <c r="H23" s="17"/>
    </row>
    <row r="24" spans="1:8" ht="15.75" customHeight="1" x14ac:dyDescent="0.3">
      <c r="A24" s="17" t="s">
        <v>50</v>
      </c>
      <c r="B24" s="17" t="s">
        <v>23</v>
      </c>
      <c r="C24" s="17">
        <v>5030000</v>
      </c>
      <c r="D24" s="17">
        <v>3675000</v>
      </c>
      <c r="E24" s="17">
        <v>2478000</v>
      </c>
      <c r="F24" s="17">
        <v>2118000</v>
      </c>
      <c r="H24" s="17"/>
    </row>
    <row r="25" spans="1:8" ht="15.75" customHeight="1" x14ac:dyDescent="0.3">
      <c r="A25" s="17" t="s">
        <v>50</v>
      </c>
      <c r="B25" s="17" t="s">
        <v>24</v>
      </c>
      <c r="C25" s="17">
        <v>9356000</v>
      </c>
      <c r="D25" s="17">
        <v>7827000</v>
      </c>
      <c r="E25" s="17">
        <v>5459000</v>
      </c>
      <c r="F25" s="17">
        <v>4926000</v>
      </c>
      <c r="H25" s="17"/>
    </row>
    <row r="26" spans="1:8" ht="15.75" customHeight="1" x14ac:dyDescent="0.3">
      <c r="A26" s="17" t="s">
        <v>50</v>
      </c>
      <c r="B26" s="17" t="s">
        <v>25</v>
      </c>
      <c r="C26" s="17">
        <v>4653000</v>
      </c>
      <c r="D26" s="17">
        <v>4284000</v>
      </c>
      <c r="E26" s="17">
        <v>3084000</v>
      </c>
      <c r="F26" s="17">
        <v>2902000</v>
      </c>
      <c r="H26" s="17"/>
    </row>
    <row r="27" spans="1:8" ht="15.75" customHeight="1" x14ac:dyDescent="0.3">
      <c r="A27" s="17" t="s">
        <v>51</v>
      </c>
      <c r="B27" s="17" t="s">
        <v>21</v>
      </c>
      <c r="C27" s="17">
        <v>493000</v>
      </c>
      <c r="D27" s="17">
        <v>461000</v>
      </c>
      <c r="E27" s="17">
        <v>278000</v>
      </c>
      <c r="F27" s="17">
        <v>259000</v>
      </c>
      <c r="H27" s="17"/>
    </row>
    <row r="28" spans="1:8" ht="15.75" customHeight="1" x14ac:dyDescent="0.3">
      <c r="A28" s="17" t="s">
        <v>51</v>
      </c>
      <c r="B28" s="17" t="s">
        <v>22</v>
      </c>
      <c r="C28" s="17">
        <v>693000</v>
      </c>
      <c r="D28" s="17">
        <v>602000</v>
      </c>
      <c r="E28" s="17">
        <v>411000</v>
      </c>
      <c r="F28" s="17">
        <v>363000</v>
      </c>
      <c r="H28" s="17"/>
    </row>
    <row r="29" spans="1:8" ht="15.75" customHeight="1" x14ac:dyDescent="0.3">
      <c r="A29" s="17" t="s">
        <v>51</v>
      </c>
      <c r="B29" s="17" t="s">
        <v>23</v>
      </c>
      <c r="C29" s="17">
        <v>684000</v>
      </c>
      <c r="D29" s="17">
        <v>616000</v>
      </c>
      <c r="E29" s="17">
        <v>484000</v>
      </c>
      <c r="F29" s="17">
        <v>452000</v>
      </c>
      <c r="H29" s="17"/>
    </row>
    <row r="30" spans="1:8" ht="15.75" customHeight="1" x14ac:dyDescent="0.3">
      <c r="A30" s="17" t="s">
        <v>51</v>
      </c>
      <c r="B30" s="17" t="s">
        <v>24</v>
      </c>
      <c r="C30" s="17">
        <v>1354000</v>
      </c>
      <c r="D30" s="17">
        <v>1287000</v>
      </c>
      <c r="E30" s="17">
        <v>1025000</v>
      </c>
      <c r="F30" s="17">
        <v>989000</v>
      </c>
      <c r="H30" s="17"/>
    </row>
    <row r="31" spans="1:8" ht="15.75" customHeight="1" x14ac:dyDescent="0.3">
      <c r="A31" s="17" t="s">
        <v>51</v>
      </c>
      <c r="B31" s="17" t="s">
        <v>25</v>
      </c>
      <c r="C31" s="17">
        <v>593000</v>
      </c>
      <c r="D31" s="17">
        <v>577000</v>
      </c>
      <c r="E31" s="17">
        <v>437000</v>
      </c>
      <c r="F31" s="17">
        <v>432000</v>
      </c>
      <c r="H31" s="17"/>
    </row>
    <row r="32" spans="1:8" ht="15.75" customHeight="1" x14ac:dyDescent="0.3">
      <c r="A32" s="17" t="s">
        <v>52</v>
      </c>
      <c r="B32" s="17" t="s">
        <v>21</v>
      </c>
      <c r="C32" s="17">
        <v>333000</v>
      </c>
      <c r="D32" s="17">
        <v>308000</v>
      </c>
      <c r="E32" s="17">
        <v>145000</v>
      </c>
      <c r="F32" s="17">
        <v>123000</v>
      </c>
      <c r="H32" s="17"/>
    </row>
    <row r="33" spans="1:8" ht="15.75" customHeight="1" x14ac:dyDescent="0.3">
      <c r="A33" s="17" t="s">
        <v>52</v>
      </c>
      <c r="B33" s="17" t="s">
        <v>22</v>
      </c>
      <c r="C33" s="17">
        <v>402000</v>
      </c>
      <c r="D33" s="17">
        <v>331000</v>
      </c>
      <c r="E33" s="17">
        <v>210000</v>
      </c>
      <c r="F33" s="17">
        <v>177000</v>
      </c>
      <c r="H33" s="17"/>
    </row>
    <row r="34" spans="1:8" ht="15.75" customHeight="1" x14ac:dyDescent="0.3">
      <c r="A34" s="17" t="s">
        <v>52</v>
      </c>
      <c r="B34" s="17" t="s">
        <v>23</v>
      </c>
      <c r="C34" s="17">
        <v>441000</v>
      </c>
      <c r="D34" s="17">
        <v>382000</v>
      </c>
      <c r="E34" s="17">
        <v>255000</v>
      </c>
      <c r="F34" s="17">
        <v>223000</v>
      </c>
      <c r="H34" s="17"/>
    </row>
    <row r="35" spans="1:8" ht="15.75" customHeight="1" x14ac:dyDescent="0.3">
      <c r="A35" s="17" t="s">
        <v>52</v>
      </c>
      <c r="B35" s="17" t="s">
        <v>24</v>
      </c>
      <c r="C35" s="17">
        <v>1047000</v>
      </c>
      <c r="D35" s="17">
        <v>993000</v>
      </c>
      <c r="E35" s="17">
        <v>768000</v>
      </c>
      <c r="F35" s="17">
        <v>695000</v>
      </c>
      <c r="H35" s="17"/>
    </row>
    <row r="36" spans="1:8" ht="15.75" customHeight="1" x14ac:dyDescent="0.3">
      <c r="A36" s="17" t="s">
        <v>52</v>
      </c>
      <c r="B36" s="17" t="s">
        <v>25</v>
      </c>
      <c r="C36" s="17">
        <v>503000</v>
      </c>
      <c r="D36" s="17">
        <v>486000</v>
      </c>
      <c r="E36" s="17">
        <v>383000</v>
      </c>
      <c r="F36" s="17">
        <v>351000</v>
      </c>
      <c r="H36" s="17"/>
    </row>
    <row r="37" spans="1:8" ht="15.75" customHeight="1" x14ac:dyDescent="0.3">
      <c r="A37" s="17" t="s">
        <v>53</v>
      </c>
      <c r="B37" s="17" t="s">
        <v>21</v>
      </c>
      <c r="C37" s="17">
        <v>82000</v>
      </c>
      <c r="D37" s="17">
        <v>77000</v>
      </c>
      <c r="E37" s="17">
        <v>38000</v>
      </c>
      <c r="F37" s="17">
        <v>33000</v>
      </c>
      <c r="H37" s="17"/>
    </row>
    <row r="38" spans="1:8" ht="15.75" customHeight="1" x14ac:dyDescent="0.3">
      <c r="A38" s="17" t="s">
        <v>53</v>
      </c>
      <c r="B38" s="17" t="s">
        <v>22</v>
      </c>
      <c r="C38" s="17">
        <v>106000</v>
      </c>
      <c r="D38" s="17">
        <v>86000</v>
      </c>
      <c r="E38" s="17">
        <v>54000</v>
      </c>
      <c r="F38" s="17">
        <v>49000</v>
      </c>
      <c r="H38" s="17"/>
    </row>
    <row r="39" spans="1:8" ht="15.75" customHeight="1" x14ac:dyDescent="0.3">
      <c r="A39" s="17" t="s">
        <v>53</v>
      </c>
      <c r="B39" s="17" t="s">
        <v>23</v>
      </c>
      <c r="C39" s="17">
        <v>119000</v>
      </c>
      <c r="D39" s="17">
        <v>102000</v>
      </c>
      <c r="E39" s="17">
        <v>77000</v>
      </c>
      <c r="F39" s="17">
        <v>67000</v>
      </c>
      <c r="H39" s="17"/>
    </row>
    <row r="40" spans="1:8" ht="15.75" customHeight="1" x14ac:dyDescent="0.3">
      <c r="A40" s="17" t="s">
        <v>53</v>
      </c>
      <c r="B40" s="17" t="s">
        <v>24</v>
      </c>
      <c r="C40" s="17">
        <v>240000</v>
      </c>
      <c r="D40" s="17">
        <v>232000</v>
      </c>
      <c r="E40" s="17">
        <v>182000</v>
      </c>
      <c r="F40" s="17">
        <v>168000</v>
      </c>
      <c r="H40" s="17"/>
    </row>
    <row r="41" spans="1:8" ht="15.75" customHeight="1" x14ac:dyDescent="0.3">
      <c r="A41" s="17" t="s">
        <v>53</v>
      </c>
      <c r="B41" s="17" t="s">
        <v>25</v>
      </c>
      <c r="C41" s="17">
        <v>146000</v>
      </c>
      <c r="D41" s="17">
        <v>145000</v>
      </c>
      <c r="E41" s="17">
        <v>118000</v>
      </c>
      <c r="F41" s="17">
        <v>113000</v>
      </c>
      <c r="H41" s="17"/>
    </row>
    <row r="42" spans="1:8" ht="15.75" customHeight="1" x14ac:dyDescent="0.3">
      <c r="A42" s="17" t="s">
        <v>54</v>
      </c>
      <c r="B42" s="17" t="s">
        <v>21</v>
      </c>
      <c r="C42" s="17">
        <v>71000</v>
      </c>
      <c r="D42" s="17">
        <v>61000</v>
      </c>
      <c r="E42" s="17">
        <v>43000</v>
      </c>
      <c r="F42" s="17">
        <v>38000</v>
      </c>
      <c r="H42" s="17"/>
    </row>
    <row r="43" spans="1:8" ht="15.75" customHeight="1" x14ac:dyDescent="0.3">
      <c r="A43" s="17" t="s">
        <v>54</v>
      </c>
      <c r="B43" s="17" t="s">
        <v>22</v>
      </c>
      <c r="C43" s="17">
        <v>154000</v>
      </c>
      <c r="D43" s="17">
        <v>133000</v>
      </c>
      <c r="E43" s="17">
        <v>114000</v>
      </c>
      <c r="F43" s="17">
        <v>102000</v>
      </c>
      <c r="H43" s="17"/>
    </row>
    <row r="44" spans="1:8" ht="15.75" customHeight="1" x14ac:dyDescent="0.3">
      <c r="A44" s="17" t="s">
        <v>54</v>
      </c>
      <c r="B44" s="17" t="s">
        <v>23</v>
      </c>
      <c r="C44" s="17">
        <v>79000</v>
      </c>
      <c r="D44" s="17">
        <v>67000</v>
      </c>
      <c r="E44" s="17">
        <v>59000</v>
      </c>
      <c r="F44" s="17">
        <v>55000</v>
      </c>
      <c r="H44" s="17"/>
    </row>
    <row r="45" spans="1:8" ht="15.75" customHeight="1" x14ac:dyDescent="0.3">
      <c r="A45" s="17" t="s">
        <v>54</v>
      </c>
      <c r="B45" s="17" t="s">
        <v>24</v>
      </c>
      <c r="C45" s="17">
        <v>140000</v>
      </c>
      <c r="D45" s="17">
        <v>129000</v>
      </c>
      <c r="E45" s="17">
        <v>109000</v>
      </c>
      <c r="F45" s="17">
        <v>99000</v>
      </c>
      <c r="H45" s="17"/>
    </row>
    <row r="46" spans="1:8" ht="15.75" customHeight="1" x14ac:dyDescent="0.3">
      <c r="A46" s="17" t="s">
        <v>54</v>
      </c>
      <c r="B46" s="17" t="s">
        <v>25</v>
      </c>
      <c r="C46" s="17">
        <v>73000</v>
      </c>
      <c r="D46" s="17">
        <v>71000</v>
      </c>
      <c r="E46" s="17">
        <v>60000</v>
      </c>
      <c r="F46" s="17">
        <v>57000</v>
      </c>
      <c r="H46" s="17"/>
    </row>
    <row r="47" spans="1:8" ht="15.75" customHeight="1" x14ac:dyDescent="0.3">
      <c r="A47" s="17" t="s">
        <v>55</v>
      </c>
      <c r="B47" s="17" t="s">
        <v>21</v>
      </c>
      <c r="C47" s="17">
        <v>1669000</v>
      </c>
      <c r="D47" s="17">
        <v>1467000</v>
      </c>
      <c r="E47" s="17">
        <v>751000</v>
      </c>
      <c r="F47" s="17">
        <v>614000</v>
      </c>
      <c r="H47" s="17"/>
    </row>
    <row r="48" spans="1:8" ht="15.75" customHeight="1" x14ac:dyDescent="0.3">
      <c r="A48" s="17" t="s">
        <v>55</v>
      </c>
      <c r="B48" s="17" t="s">
        <v>22</v>
      </c>
      <c r="C48" s="17">
        <v>2259000</v>
      </c>
      <c r="D48" s="17">
        <v>1903000</v>
      </c>
      <c r="E48" s="17">
        <v>1158000</v>
      </c>
      <c r="F48" s="17">
        <v>987000</v>
      </c>
      <c r="H48" s="17"/>
    </row>
    <row r="49" spans="1:8" ht="15.75" customHeight="1" x14ac:dyDescent="0.3">
      <c r="A49" s="17" t="s">
        <v>55</v>
      </c>
      <c r="B49" s="17" t="s">
        <v>23</v>
      </c>
      <c r="C49" s="17">
        <v>2456000</v>
      </c>
      <c r="D49" s="17">
        <v>1960000</v>
      </c>
      <c r="E49" s="17">
        <v>1335000</v>
      </c>
      <c r="F49" s="17">
        <v>1177000</v>
      </c>
      <c r="H49" s="17"/>
    </row>
    <row r="50" spans="1:8" ht="15.75" customHeight="1" x14ac:dyDescent="0.3">
      <c r="A50" s="17" t="s">
        <v>55</v>
      </c>
      <c r="B50" s="17" t="s">
        <v>24</v>
      </c>
      <c r="C50" s="17">
        <v>5345000</v>
      </c>
      <c r="D50" s="17">
        <v>4814000</v>
      </c>
      <c r="E50" s="17">
        <v>3474000</v>
      </c>
      <c r="F50" s="17">
        <v>3107000</v>
      </c>
      <c r="H50" s="17"/>
    </row>
    <row r="51" spans="1:8" ht="15.75" customHeight="1" x14ac:dyDescent="0.3">
      <c r="A51" s="17" t="s">
        <v>55</v>
      </c>
      <c r="B51" s="17" t="s">
        <v>25</v>
      </c>
      <c r="C51" s="17">
        <v>3304000</v>
      </c>
      <c r="D51" s="17">
        <v>3182000</v>
      </c>
      <c r="E51" s="17">
        <v>2384000</v>
      </c>
      <c r="F51" s="17">
        <v>2222000</v>
      </c>
      <c r="H51" s="17"/>
    </row>
    <row r="52" spans="1:8" ht="15.75" customHeight="1" x14ac:dyDescent="0.3">
      <c r="A52" s="17" t="s">
        <v>56</v>
      </c>
      <c r="B52" s="17" t="s">
        <v>21</v>
      </c>
      <c r="C52" s="17">
        <v>920000</v>
      </c>
      <c r="D52" s="17">
        <v>867000</v>
      </c>
      <c r="E52" s="17">
        <v>469000</v>
      </c>
      <c r="F52" s="17">
        <v>349000</v>
      </c>
      <c r="H52" s="17"/>
    </row>
    <row r="53" spans="1:8" ht="15.75" customHeight="1" x14ac:dyDescent="0.3">
      <c r="A53" s="17" t="s">
        <v>56</v>
      </c>
      <c r="B53" s="17" t="s">
        <v>22</v>
      </c>
      <c r="C53" s="17">
        <v>1308000</v>
      </c>
      <c r="D53" s="17">
        <v>1148000</v>
      </c>
      <c r="E53" s="17">
        <v>847000</v>
      </c>
      <c r="F53" s="17">
        <v>700000</v>
      </c>
      <c r="H53" s="17"/>
    </row>
    <row r="54" spans="1:8" ht="15.75" customHeight="1" x14ac:dyDescent="0.3">
      <c r="A54" s="17" t="s">
        <v>56</v>
      </c>
      <c r="B54" s="17" t="s">
        <v>23</v>
      </c>
      <c r="C54" s="17">
        <v>1341000</v>
      </c>
      <c r="D54" s="17">
        <v>1228000</v>
      </c>
      <c r="E54" s="17">
        <v>825000</v>
      </c>
      <c r="F54" s="17">
        <v>726000</v>
      </c>
      <c r="H54" s="17"/>
    </row>
    <row r="55" spans="1:8" ht="15.75" customHeight="1" x14ac:dyDescent="0.3">
      <c r="A55" s="17" t="s">
        <v>56</v>
      </c>
      <c r="B55" s="17" t="s">
        <v>24</v>
      </c>
      <c r="C55" s="17">
        <v>2658000</v>
      </c>
      <c r="D55" s="17">
        <v>2547000</v>
      </c>
      <c r="E55" s="17">
        <v>1886000</v>
      </c>
      <c r="F55" s="17">
        <v>1741000</v>
      </c>
      <c r="H55" s="17"/>
    </row>
    <row r="56" spans="1:8" ht="15.75" customHeight="1" x14ac:dyDescent="0.3">
      <c r="A56" s="17" t="s">
        <v>56</v>
      </c>
      <c r="B56" s="17" t="s">
        <v>25</v>
      </c>
      <c r="C56" s="17">
        <v>951000</v>
      </c>
      <c r="D56" s="17">
        <v>948000</v>
      </c>
      <c r="E56" s="17">
        <v>739000</v>
      </c>
      <c r="F56" s="17">
        <v>652000</v>
      </c>
      <c r="H56" s="17"/>
    </row>
    <row r="57" spans="1:8" ht="15.75" customHeight="1" x14ac:dyDescent="0.3">
      <c r="A57" s="17" t="s">
        <v>57</v>
      </c>
      <c r="B57" s="17" t="s">
        <v>21</v>
      </c>
      <c r="C57" s="17">
        <v>107000</v>
      </c>
      <c r="D57" s="17">
        <v>91000</v>
      </c>
      <c r="E57" s="17">
        <v>33000</v>
      </c>
      <c r="F57" s="17">
        <v>24000</v>
      </c>
      <c r="H57" s="17"/>
    </row>
    <row r="58" spans="1:8" ht="15.75" customHeight="1" x14ac:dyDescent="0.3">
      <c r="A58" s="17" t="s">
        <v>57</v>
      </c>
      <c r="B58" s="17" t="s">
        <v>22</v>
      </c>
      <c r="C58" s="17">
        <v>172000</v>
      </c>
      <c r="D58" s="17">
        <v>154000</v>
      </c>
      <c r="E58" s="17">
        <v>65000</v>
      </c>
      <c r="F58" s="17">
        <v>55000</v>
      </c>
      <c r="H58" s="17"/>
    </row>
    <row r="59" spans="1:8" ht="15.75" customHeight="1" x14ac:dyDescent="0.3">
      <c r="A59" s="17" t="s">
        <v>57</v>
      </c>
      <c r="B59" s="17" t="s">
        <v>23</v>
      </c>
      <c r="C59" s="17">
        <v>166000</v>
      </c>
      <c r="D59" s="17">
        <v>153000</v>
      </c>
      <c r="E59" s="17">
        <v>83000</v>
      </c>
      <c r="F59" s="17">
        <v>69000</v>
      </c>
      <c r="H59" s="17"/>
    </row>
    <row r="60" spans="1:8" ht="15.75" customHeight="1" x14ac:dyDescent="0.3">
      <c r="A60" s="17" t="s">
        <v>57</v>
      </c>
      <c r="B60" s="17" t="s">
        <v>24</v>
      </c>
      <c r="C60" s="17">
        <v>343000</v>
      </c>
      <c r="D60" s="17">
        <v>317000</v>
      </c>
      <c r="E60" s="17">
        <v>217000</v>
      </c>
      <c r="F60" s="17">
        <v>196000</v>
      </c>
      <c r="H60" s="17"/>
    </row>
    <row r="61" spans="1:8" ht="15.75" customHeight="1" x14ac:dyDescent="0.3">
      <c r="A61" s="17" t="s">
        <v>57</v>
      </c>
      <c r="B61" s="17" t="s">
        <v>25</v>
      </c>
      <c r="C61" s="17">
        <v>224000</v>
      </c>
      <c r="D61" s="17">
        <v>215000</v>
      </c>
      <c r="E61" s="17">
        <v>149000</v>
      </c>
      <c r="F61" s="17">
        <v>137000</v>
      </c>
      <c r="H61" s="17"/>
    </row>
    <row r="62" spans="1:8" ht="15.75" customHeight="1" x14ac:dyDescent="0.3">
      <c r="A62" s="17" t="s">
        <v>58</v>
      </c>
      <c r="B62" s="17" t="s">
        <v>21</v>
      </c>
      <c r="C62" s="17">
        <v>130000</v>
      </c>
      <c r="D62" s="17">
        <v>121000</v>
      </c>
      <c r="E62" s="17">
        <v>51000</v>
      </c>
      <c r="F62" s="17">
        <v>39000</v>
      </c>
      <c r="H62" s="17"/>
    </row>
    <row r="63" spans="1:8" ht="15.75" customHeight="1" x14ac:dyDescent="0.3">
      <c r="A63" s="17" t="s">
        <v>58</v>
      </c>
      <c r="B63" s="17" t="s">
        <v>22</v>
      </c>
      <c r="C63" s="17">
        <v>194000</v>
      </c>
      <c r="D63" s="17">
        <v>173000</v>
      </c>
      <c r="E63" s="17">
        <v>114000</v>
      </c>
      <c r="F63" s="17">
        <v>99000</v>
      </c>
      <c r="H63" s="17"/>
    </row>
    <row r="64" spans="1:8" ht="15.75" customHeight="1" x14ac:dyDescent="0.3">
      <c r="A64" s="17" t="s">
        <v>58</v>
      </c>
      <c r="B64" s="17" t="s">
        <v>23</v>
      </c>
      <c r="C64" s="17">
        <v>203000</v>
      </c>
      <c r="D64" s="17">
        <v>187000</v>
      </c>
      <c r="E64" s="17">
        <v>141000</v>
      </c>
      <c r="F64" s="17">
        <v>132000</v>
      </c>
      <c r="H64" s="17"/>
    </row>
    <row r="65" spans="1:8" ht="15.75" customHeight="1" x14ac:dyDescent="0.3">
      <c r="A65" s="17" t="s">
        <v>58</v>
      </c>
      <c r="B65" s="17" t="s">
        <v>24</v>
      </c>
      <c r="C65" s="17">
        <v>401000</v>
      </c>
      <c r="D65" s="17">
        <v>382000</v>
      </c>
      <c r="E65" s="17">
        <v>274000</v>
      </c>
      <c r="F65" s="17">
        <v>250000</v>
      </c>
      <c r="H65" s="17"/>
    </row>
    <row r="66" spans="1:8" ht="15.75" customHeight="1" x14ac:dyDescent="0.3">
      <c r="A66" s="17" t="s">
        <v>58</v>
      </c>
      <c r="B66" s="17" t="s">
        <v>25</v>
      </c>
      <c r="C66" s="17">
        <v>201000</v>
      </c>
      <c r="D66" s="17">
        <v>201000</v>
      </c>
      <c r="E66" s="17">
        <v>164000</v>
      </c>
      <c r="F66" s="17">
        <v>160000</v>
      </c>
      <c r="H66" s="17"/>
    </row>
    <row r="67" spans="1:8" ht="15.75" customHeight="1" x14ac:dyDescent="0.3">
      <c r="A67" s="17" t="s">
        <v>59</v>
      </c>
      <c r="B67" s="17" t="s">
        <v>21</v>
      </c>
      <c r="C67" s="17">
        <v>1228000</v>
      </c>
      <c r="D67" s="17">
        <v>1122000</v>
      </c>
      <c r="E67" s="17">
        <v>608000</v>
      </c>
      <c r="F67" s="17">
        <v>396000</v>
      </c>
      <c r="H67" s="17"/>
    </row>
    <row r="68" spans="1:8" ht="15.75" customHeight="1" x14ac:dyDescent="0.3">
      <c r="A68" s="17" t="s">
        <v>59</v>
      </c>
      <c r="B68" s="17" t="s">
        <v>22</v>
      </c>
      <c r="C68" s="17">
        <v>1707000</v>
      </c>
      <c r="D68" s="17">
        <v>1480000</v>
      </c>
      <c r="E68" s="17">
        <v>1020000</v>
      </c>
      <c r="F68" s="17">
        <v>846000</v>
      </c>
      <c r="H68" s="17"/>
    </row>
    <row r="69" spans="1:8" ht="15.75" customHeight="1" x14ac:dyDescent="0.3">
      <c r="A69" s="17" t="s">
        <v>59</v>
      </c>
      <c r="B69" s="17" t="s">
        <v>23</v>
      </c>
      <c r="C69" s="17">
        <v>1688000</v>
      </c>
      <c r="D69" s="17">
        <v>1481000</v>
      </c>
      <c r="E69" s="17">
        <v>1066000</v>
      </c>
      <c r="F69" s="17">
        <v>872000</v>
      </c>
      <c r="H69" s="17"/>
    </row>
    <row r="70" spans="1:8" ht="15.75" customHeight="1" x14ac:dyDescent="0.3">
      <c r="A70" s="17" t="s">
        <v>59</v>
      </c>
      <c r="B70" s="17" t="s">
        <v>24</v>
      </c>
      <c r="C70" s="17">
        <v>3407000</v>
      </c>
      <c r="D70" s="17">
        <v>3182000</v>
      </c>
      <c r="E70" s="17">
        <v>2471000</v>
      </c>
      <c r="F70" s="17">
        <v>2206000</v>
      </c>
      <c r="H70" s="17"/>
    </row>
    <row r="71" spans="1:8" ht="15.75" customHeight="1" x14ac:dyDescent="0.3">
      <c r="A71" s="17" t="s">
        <v>59</v>
      </c>
      <c r="B71" s="17" t="s">
        <v>25</v>
      </c>
      <c r="C71" s="17">
        <v>1620000</v>
      </c>
      <c r="D71" s="17">
        <v>1566000</v>
      </c>
      <c r="E71" s="17">
        <v>1259000</v>
      </c>
      <c r="F71" s="17">
        <v>1108000</v>
      </c>
      <c r="H71" s="17"/>
    </row>
    <row r="72" spans="1:8" ht="15.75" customHeight="1" x14ac:dyDescent="0.3">
      <c r="A72" s="17" t="s">
        <v>60</v>
      </c>
      <c r="B72" s="17" t="s">
        <v>21</v>
      </c>
      <c r="C72" s="17">
        <v>570000</v>
      </c>
      <c r="D72" s="17">
        <v>558000</v>
      </c>
      <c r="E72" s="17">
        <v>269000</v>
      </c>
      <c r="F72" s="17">
        <v>203000</v>
      </c>
      <c r="H72" s="17"/>
    </row>
    <row r="73" spans="1:8" ht="15.75" customHeight="1" x14ac:dyDescent="0.3">
      <c r="A73" s="17" t="s">
        <v>60</v>
      </c>
      <c r="B73" s="17" t="s">
        <v>22</v>
      </c>
      <c r="C73" s="17">
        <v>861000</v>
      </c>
      <c r="D73" s="17">
        <v>800000</v>
      </c>
      <c r="E73" s="17">
        <v>462000</v>
      </c>
      <c r="F73" s="17">
        <v>356000</v>
      </c>
      <c r="H73" s="17"/>
    </row>
    <row r="74" spans="1:8" ht="15.75" customHeight="1" x14ac:dyDescent="0.3">
      <c r="A74" s="17" t="s">
        <v>60</v>
      </c>
      <c r="B74" s="17" t="s">
        <v>23</v>
      </c>
      <c r="C74" s="17">
        <v>828000</v>
      </c>
      <c r="D74" s="17">
        <v>801000</v>
      </c>
      <c r="E74" s="17">
        <v>550000</v>
      </c>
      <c r="F74" s="17">
        <v>420000</v>
      </c>
      <c r="H74" s="17"/>
    </row>
    <row r="75" spans="1:8" ht="15.75" customHeight="1" x14ac:dyDescent="0.3">
      <c r="A75" s="17" t="s">
        <v>60</v>
      </c>
      <c r="B75" s="17" t="s">
        <v>24</v>
      </c>
      <c r="C75" s="17">
        <v>1754000</v>
      </c>
      <c r="D75" s="17">
        <v>1733000</v>
      </c>
      <c r="E75" s="17">
        <v>1329000</v>
      </c>
      <c r="F75" s="17">
        <v>1212000</v>
      </c>
      <c r="H75" s="17"/>
    </row>
    <row r="76" spans="1:8" ht="15.75" customHeight="1" x14ac:dyDescent="0.3">
      <c r="A76" s="17" t="s">
        <v>60</v>
      </c>
      <c r="B76" s="17" t="s">
        <v>25</v>
      </c>
      <c r="C76" s="17">
        <v>840000</v>
      </c>
      <c r="D76" s="17">
        <v>832000</v>
      </c>
      <c r="E76" s="17">
        <v>660000</v>
      </c>
      <c r="F76" s="17">
        <v>610000</v>
      </c>
      <c r="H76" s="17"/>
    </row>
    <row r="77" spans="1:8" ht="15.75" customHeight="1" x14ac:dyDescent="0.3">
      <c r="A77" s="17" t="s">
        <v>61</v>
      </c>
      <c r="B77" s="17" t="s">
        <v>21</v>
      </c>
      <c r="C77" s="17">
        <v>260000</v>
      </c>
      <c r="D77" s="17">
        <v>243000</v>
      </c>
      <c r="E77" s="17">
        <v>150000</v>
      </c>
      <c r="F77" s="17">
        <v>121000</v>
      </c>
      <c r="H77" s="17"/>
    </row>
    <row r="78" spans="1:8" ht="15.75" customHeight="1" x14ac:dyDescent="0.3">
      <c r="A78" s="17" t="s">
        <v>61</v>
      </c>
      <c r="B78" s="17" t="s">
        <v>22</v>
      </c>
      <c r="C78" s="17">
        <v>402000</v>
      </c>
      <c r="D78" s="17">
        <v>379000</v>
      </c>
      <c r="E78" s="17">
        <v>276000</v>
      </c>
      <c r="F78" s="17">
        <v>238000</v>
      </c>
      <c r="H78" s="17"/>
    </row>
    <row r="79" spans="1:8" ht="15.75" customHeight="1" x14ac:dyDescent="0.3">
      <c r="A79" s="17" t="s">
        <v>61</v>
      </c>
      <c r="B79" s="17" t="s">
        <v>23</v>
      </c>
      <c r="C79" s="17">
        <v>385000</v>
      </c>
      <c r="D79" s="17">
        <v>358000</v>
      </c>
      <c r="E79" s="17">
        <v>275000</v>
      </c>
      <c r="F79" s="17">
        <v>238000</v>
      </c>
      <c r="H79" s="17"/>
    </row>
    <row r="80" spans="1:8" ht="15.75" customHeight="1" x14ac:dyDescent="0.3">
      <c r="A80" s="17" t="s">
        <v>61</v>
      </c>
      <c r="B80" s="17" t="s">
        <v>24</v>
      </c>
      <c r="C80" s="17">
        <v>828000</v>
      </c>
      <c r="D80" s="17">
        <v>812000</v>
      </c>
      <c r="E80" s="17">
        <v>652000</v>
      </c>
      <c r="F80" s="17">
        <v>586000</v>
      </c>
      <c r="H80" s="17"/>
    </row>
    <row r="81" spans="1:8" ht="15.75" customHeight="1" x14ac:dyDescent="0.3">
      <c r="A81" s="17" t="s">
        <v>61</v>
      </c>
      <c r="B81" s="17" t="s">
        <v>25</v>
      </c>
      <c r="C81" s="17">
        <v>444000</v>
      </c>
      <c r="D81" s="17">
        <v>440000</v>
      </c>
      <c r="E81" s="17">
        <v>392000</v>
      </c>
      <c r="F81" s="17">
        <v>365000</v>
      </c>
      <c r="H81" s="17"/>
    </row>
    <row r="82" spans="1:8" ht="15.75" customHeight="1" x14ac:dyDescent="0.3">
      <c r="A82" s="17" t="s">
        <v>62</v>
      </c>
      <c r="B82" s="17" t="s">
        <v>21</v>
      </c>
      <c r="C82" s="17">
        <v>294000</v>
      </c>
      <c r="D82" s="17">
        <v>262000</v>
      </c>
      <c r="E82" s="17">
        <v>127000</v>
      </c>
      <c r="F82" s="17">
        <v>88000</v>
      </c>
      <c r="H82" s="17"/>
    </row>
    <row r="83" spans="1:8" ht="15.75" customHeight="1" x14ac:dyDescent="0.3">
      <c r="A83" s="17" t="s">
        <v>62</v>
      </c>
      <c r="B83" s="17" t="s">
        <v>22</v>
      </c>
      <c r="C83" s="17">
        <v>406000</v>
      </c>
      <c r="D83" s="17">
        <v>359000</v>
      </c>
      <c r="E83" s="17">
        <v>236000</v>
      </c>
      <c r="F83" s="17">
        <v>172000</v>
      </c>
      <c r="H83" s="17"/>
    </row>
    <row r="84" spans="1:8" ht="15.75" customHeight="1" x14ac:dyDescent="0.3">
      <c r="A84" s="17" t="s">
        <v>62</v>
      </c>
      <c r="B84" s="17" t="s">
        <v>23</v>
      </c>
      <c r="C84" s="17">
        <v>300000</v>
      </c>
      <c r="D84" s="17">
        <v>269000</v>
      </c>
      <c r="E84" s="17">
        <v>203000</v>
      </c>
      <c r="F84" s="17">
        <v>169000</v>
      </c>
      <c r="H84" s="17"/>
    </row>
    <row r="85" spans="1:8" ht="15.75" customHeight="1" x14ac:dyDescent="0.3">
      <c r="A85" s="17" t="s">
        <v>62</v>
      </c>
      <c r="B85" s="17" t="s">
        <v>24</v>
      </c>
      <c r="C85" s="17">
        <v>757000</v>
      </c>
      <c r="D85" s="17">
        <v>721000</v>
      </c>
      <c r="E85" s="17">
        <v>583000</v>
      </c>
      <c r="F85" s="17">
        <v>535000</v>
      </c>
      <c r="H85" s="17"/>
    </row>
    <row r="86" spans="1:8" ht="15.75" customHeight="1" x14ac:dyDescent="0.3">
      <c r="A86" s="17" t="s">
        <v>62</v>
      </c>
      <c r="B86" s="17" t="s">
        <v>25</v>
      </c>
      <c r="C86" s="17">
        <v>363000</v>
      </c>
      <c r="D86" s="17">
        <v>363000</v>
      </c>
      <c r="E86" s="17">
        <v>318000</v>
      </c>
      <c r="F86" s="17">
        <v>285000</v>
      </c>
      <c r="H86" s="17"/>
    </row>
    <row r="87" spans="1:8" ht="15.75" customHeight="1" x14ac:dyDescent="0.3">
      <c r="A87" s="17" t="s">
        <v>63</v>
      </c>
      <c r="B87" s="17" t="s">
        <v>21</v>
      </c>
      <c r="C87" s="17">
        <v>446000</v>
      </c>
      <c r="D87" s="17">
        <v>437000</v>
      </c>
      <c r="E87" s="17">
        <v>225000</v>
      </c>
      <c r="F87" s="17">
        <v>165000</v>
      </c>
      <c r="H87" s="17"/>
    </row>
    <row r="88" spans="1:8" ht="15.75" customHeight="1" x14ac:dyDescent="0.3">
      <c r="A88" s="17" t="s">
        <v>63</v>
      </c>
      <c r="B88" s="17" t="s">
        <v>22</v>
      </c>
      <c r="C88" s="17">
        <v>513000</v>
      </c>
      <c r="D88" s="17">
        <v>462000</v>
      </c>
      <c r="E88" s="17">
        <v>320000</v>
      </c>
      <c r="F88" s="17">
        <v>235000</v>
      </c>
      <c r="H88" s="17"/>
    </row>
    <row r="89" spans="1:8" ht="15.75" customHeight="1" x14ac:dyDescent="0.3">
      <c r="A89" s="17" t="s">
        <v>63</v>
      </c>
      <c r="B89" s="17" t="s">
        <v>23</v>
      </c>
      <c r="C89" s="17">
        <v>547000</v>
      </c>
      <c r="D89" s="17">
        <v>534000</v>
      </c>
      <c r="E89" s="17">
        <v>411000</v>
      </c>
      <c r="F89" s="17">
        <v>330000</v>
      </c>
      <c r="H89" s="17"/>
    </row>
    <row r="90" spans="1:8" ht="15.75" customHeight="1" x14ac:dyDescent="0.3">
      <c r="A90" s="17" t="s">
        <v>63</v>
      </c>
      <c r="B90" s="17" t="s">
        <v>24</v>
      </c>
      <c r="C90" s="17">
        <v>1173000</v>
      </c>
      <c r="D90" s="17">
        <v>1152000</v>
      </c>
      <c r="E90" s="17">
        <v>879000</v>
      </c>
      <c r="F90" s="17">
        <v>757000</v>
      </c>
      <c r="H90" s="17"/>
    </row>
    <row r="91" spans="1:8" ht="15.75" customHeight="1" x14ac:dyDescent="0.3">
      <c r="A91" s="17" t="s">
        <v>63</v>
      </c>
      <c r="B91" s="17" t="s">
        <v>25</v>
      </c>
      <c r="C91" s="17">
        <v>613000</v>
      </c>
      <c r="D91" s="17">
        <v>608000</v>
      </c>
      <c r="E91" s="17">
        <v>468000</v>
      </c>
      <c r="F91" s="17">
        <v>408000</v>
      </c>
      <c r="H91" s="17"/>
    </row>
    <row r="92" spans="1:8" ht="15.75" customHeight="1" x14ac:dyDescent="0.3">
      <c r="A92" s="17" t="s">
        <v>64</v>
      </c>
      <c r="B92" s="17" t="s">
        <v>21</v>
      </c>
      <c r="C92" s="17">
        <v>431000</v>
      </c>
      <c r="D92" s="17">
        <v>415000</v>
      </c>
      <c r="E92" s="17">
        <v>226000</v>
      </c>
      <c r="F92" s="17">
        <v>174000</v>
      </c>
      <c r="H92" s="17"/>
    </row>
    <row r="93" spans="1:8" ht="15.75" customHeight="1" x14ac:dyDescent="0.3">
      <c r="A93" s="17" t="s">
        <v>64</v>
      </c>
      <c r="B93" s="17" t="s">
        <v>22</v>
      </c>
      <c r="C93" s="17">
        <v>579000</v>
      </c>
      <c r="D93" s="17">
        <v>552000</v>
      </c>
      <c r="E93" s="17">
        <v>422000</v>
      </c>
      <c r="F93" s="17">
        <v>369000</v>
      </c>
      <c r="H93" s="17"/>
    </row>
    <row r="94" spans="1:8" ht="15.75" customHeight="1" x14ac:dyDescent="0.3">
      <c r="A94" s="17" t="s">
        <v>64</v>
      </c>
      <c r="B94" s="17" t="s">
        <v>23</v>
      </c>
      <c r="C94" s="17">
        <v>543000</v>
      </c>
      <c r="D94" s="17">
        <v>526000</v>
      </c>
      <c r="E94" s="17">
        <v>399000</v>
      </c>
      <c r="F94" s="17">
        <v>340000</v>
      </c>
      <c r="H94" s="17"/>
    </row>
    <row r="95" spans="1:8" ht="15.75" customHeight="1" x14ac:dyDescent="0.3">
      <c r="A95" s="17" t="s">
        <v>64</v>
      </c>
      <c r="B95" s="17" t="s">
        <v>24</v>
      </c>
      <c r="C95" s="17">
        <v>1199000</v>
      </c>
      <c r="D95" s="17">
        <v>1184000</v>
      </c>
      <c r="E95" s="17">
        <v>968000</v>
      </c>
      <c r="F95" s="17">
        <v>846000</v>
      </c>
      <c r="H95" s="17"/>
    </row>
    <row r="96" spans="1:8" ht="15.75" customHeight="1" x14ac:dyDescent="0.3">
      <c r="A96" s="17" t="s">
        <v>64</v>
      </c>
      <c r="B96" s="17" t="s">
        <v>25</v>
      </c>
      <c r="C96" s="17">
        <v>568000</v>
      </c>
      <c r="D96" s="17">
        <v>562000</v>
      </c>
      <c r="E96" s="17">
        <v>483000</v>
      </c>
      <c r="F96" s="17">
        <v>420000</v>
      </c>
      <c r="H96" s="17"/>
    </row>
    <row r="97" spans="1:8" ht="15.75" customHeight="1" x14ac:dyDescent="0.3">
      <c r="A97" s="17" t="s">
        <v>65</v>
      </c>
      <c r="B97" s="17" t="s">
        <v>21</v>
      </c>
      <c r="C97" s="17">
        <v>118000</v>
      </c>
      <c r="D97" s="17">
        <v>118000</v>
      </c>
      <c r="E97" s="17">
        <v>61000</v>
      </c>
      <c r="F97" s="17">
        <v>50000</v>
      </c>
      <c r="H97" s="17"/>
    </row>
    <row r="98" spans="1:8" ht="15.75" customHeight="1" x14ac:dyDescent="0.3">
      <c r="A98" s="17" t="s">
        <v>65</v>
      </c>
      <c r="B98" s="17" t="s">
        <v>22</v>
      </c>
      <c r="C98" s="17">
        <v>134000</v>
      </c>
      <c r="D98" s="17">
        <v>131000</v>
      </c>
      <c r="E98" s="17">
        <v>93000</v>
      </c>
      <c r="F98" s="17">
        <v>78000</v>
      </c>
      <c r="H98" s="17"/>
    </row>
    <row r="99" spans="1:8" ht="15.75" customHeight="1" x14ac:dyDescent="0.3">
      <c r="A99" s="17" t="s">
        <v>65</v>
      </c>
      <c r="B99" s="17" t="s">
        <v>23</v>
      </c>
      <c r="C99" s="17">
        <v>157000</v>
      </c>
      <c r="D99" s="17">
        <v>149000</v>
      </c>
      <c r="E99" s="17">
        <v>117000</v>
      </c>
      <c r="F99" s="17">
        <v>101000</v>
      </c>
      <c r="H99" s="17"/>
    </row>
    <row r="100" spans="1:8" ht="15.75" customHeight="1" x14ac:dyDescent="0.3">
      <c r="A100" s="17" t="s">
        <v>65</v>
      </c>
      <c r="B100" s="17" t="s">
        <v>24</v>
      </c>
      <c r="C100" s="17">
        <v>413000</v>
      </c>
      <c r="D100" s="17">
        <v>407000</v>
      </c>
      <c r="E100" s="17">
        <v>329000</v>
      </c>
      <c r="F100" s="17">
        <v>300000</v>
      </c>
      <c r="H100" s="17"/>
    </row>
    <row r="101" spans="1:8" ht="15.75" customHeight="1" x14ac:dyDescent="0.3">
      <c r="A101" s="17" t="s">
        <v>65</v>
      </c>
      <c r="B101" s="17" t="s">
        <v>25</v>
      </c>
      <c r="C101" s="17">
        <v>219000</v>
      </c>
      <c r="D101" s="17">
        <v>215000</v>
      </c>
      <c r="E101" s="17">
        <v>187000</v>
      </c>
      <c r="F101" s="17">
        <v>170000</v>
      </c>
      <c r="H101" s="17"/>
    </row>
    <row r="102" spans="1:8" ht="15.75" customHeight="1" x14ac:dyDescent="0.3">
      <c r="A102" s="17" t="s">
        <v>66</v>
      </c>
      <c r="B102" s="17" t="s">
        <v>21</v>
      </c>
      <c r="C102" s="17">
        <v>585000</v>
      </c>
      <c r="D102" s="17">
        <v>558000</v>
      </c>
      <c r="E102" s="17">
        <v>301000</v>
      </c>
      <c r="F102" s="17">
        <v>246000</v>
      </c>
      <c r="H102" s="17"/>
    </row>
    <row r="103" spans="1:8" ht="15.75" customHeight="1" x14ac:dyDescent="0.3">
      <c r="A103" s="17" t="s">
        <v>66</v>
      </c>
      <c r="B103" s="17" t="s">
        <v>22</v>
      </c>
      <c r="C103" s="17">
        <v>777000</v>
      </c>
      <c r="D103" s="17">
        <v>621000</v>
      </c>
      <c r="E103" s="17">
        <v>439000</v>
      </c>
      <c r="F103" s="17">
        <v>393000</v>
      </c>
      <c r="H103" s="17"/>
    </row>
    <row r="104" spans="1:8" ht="15.75" customHeight="1" x14ac:dyDescent="0.3">
      <c r="A104" s="17" t="s">
        <v>66</v>
      </c>
      <c r="B104" s="17" t="s">
        <v>23</v>
      </c>
      <c r="C104" s="17">
        <v>721000</v>
      </c>
      <c r="D104" s="17">
        <v>590000</v>
      </c>
      <c r="E104" s="17">
        <v>434000</v>
      </c>
      <c r="F104" s="17">
        <v>396000</v>
      </c>
      <c r="H104" s="17"/>
    </row>
    <row r="105" spans="1:8" ht="15.75" customHeight="1" x14ac:dyDescent="0.3">
      <c r="A105" s="17" t="s">
        <v>66</v>
      </c>
      <c r="B105" s="17" t="s">
        <v>24</v>
      </c>
      <c r="C105" s="17">
        <v>1557000</v>
      </c>
      <c r="D105" s="17">
        <v>1450000</v>
      </c>
      <c r="E105" s="17">
        <v>1107000</v>
      </c>
      <c r="F105" s="17">
        <v>1025000</v>
      </c>
      <c r="H105" s="17"/>
    </row>
    <row r="106" spans="1:8" ht="15.75" customHeight="1" x14ac:dyDescent="0.3">
      <c r="A106" s="17" t="s">
        <v>66</v>
      </c>
      <c r="B106" s="17" t="s">
        <v>25</v>
      </c>
      <c r="C106" s="17">
        <v>809000</v>
      </c>
      <c r="D106" s="17">
        <v>787000</v>
      </c>
      <c r="E106" s="17">
        <v>607000</v>
      </c>
      <c r="F106" s="17">
        <v>550000</v>
      </c>
      <c r="H106" s="17"/>
    </row>
    <row r="107" spans="1:8" ht="15.75" customHeight="1" x14ac:dyDescent="0.3">
      <c r="A107" s="17" t="s">
        <v>67</v>
      </c>
      <c r="B107" s="17" t="s">
        <v>21</v>
      </c>
      <c r="C107" s="17">
        <v>694000</v>
      </c>
      <c r="D107" s="17">
        <v>633000</v>
      </c>
      <c r="E107" s="17">
        <v>395000</v>
      </c>
      <c r="F107" s="17">
        <v>316000</v>
      </c>
      <c r="H107" s="17"/>
    </row>
    <row r="108" spans="1:8" ht="15.75" customHeight="1" x14ac:dyDescent="0.3">
      <c r="A108" s="17" t="s">
        <v>67</v>
      </c>
      <c r="B108" s="17" t="s">
        <v>22</v>
      </c>
      <c r="C108" s="17">
        <v>810000</v>
      </c>
      <c r="D108" s="17">
        <v>705000</v>
      </c>
      <c r="E108" s="17">
        <v>526000</v>
      </c>
      <c r="F108" s="17">
        <v>450000</v>
      </c>
      <c r="H108" s="17"/>
    </row>
    <row r="109" spans="1:8" ht="15.75" customHeight="1" x14ac:dyDescent="0.3">
      <c r="A109" s="17" t="s">
        <v>67</v>
      </c>
      <c r="B109" s="17" t="s">
        <v>23</v>
      </c>
      <c r="C109" s="17">
        <v>888000</v>
      </c>
      <c r="D109" s="17">
        <v>783000</v>
      </c>
      <c r="E109" s="17">
        <v>580000</v>
      </c>
      <c r="F109" s="17">
        <v>530000</v>
      </c>
      <c r="H109" s="17"/>
    </row>
    <row r="110" spans="1:8" ht="15.75" customHeight="1" x14ac:dyDescent="0.3">
      <c r="A110" s="17" t="s">
        <v>67</v>
      </c>
      <c r="B110" s="17" t="s">
        <v>24</v>
      </c>
      <c r="C110" s="17">
        <v>1784000</v>
      </c>
      <c r="D110" s="17">
        <v>1677000</v>
      </c>
      <c r="E110" s="17">
        <v>1424000</v>
      </c>
      <c r="F110" s="17">
        <v>1327000</v>
      </c>
      <c r="H110" s="17"/>
    </row>
    <row r="111" spans="1:8" ht="15.75" customHeight="1" x14ac:dyDescent="0.3">
      <c r="A111" s="17" t="s">
        <v>67</v>
      </c>
      <c r="B111" s="17" t="s">
        <v>25</v>
      </c>
      <c r="C111" s="17">
        <v>994000</v>
      </c>
      <c r="D111" s="17">
        <v>975000</v>
      </c>
      <c r="E111" s="17">
        <v>833000</v>
      </c>
      <c r="F111" s="17">
        <v>759000</v>
      </c>
      <c r="H111" s="17"/>
    </row>
    <row r="112" spans="1:8" ht="15.75" customHeight="1" x14ac:dyDescent="0.3">
      <c r="A112" s="17" t="s">
        <v>68</v>
      </c>
      <c r="B112" s="17" t="s">
        <v>21</v>
      </c>
      <c r="C112" s="17">
        <v>905000</v>
      </c>
      <c r="D112" s="17">
        <v>894000</v>
      </c>
      <c r="E112" s="17">
        <v>536000</v>
      </c>
      <c r="F112" s="17">
        <v>394000</v>
      </c>
      <c r="H112" s="17"/>
    </row>
    <row r="113" spans="1:8" ht="15.75" customHeight="1" x14ac:dyDescent="0.3">
      <c r="A113" s="17" t="s">
        <v>68</v>
      </c>
      <c r="B113" s="17" t="s">
        <v>22</v>
      </c>
      <c r="C113" s="17">
        <v>1182000</v>
      </c>
      <c r="D113" s="17">
        <v>1107000</v>
      </c>
      <c r="E113" s="17">
        <v>830000</v>
      </c>
      <c r="F113" s="17">
        <v>629000</v>
      </c>
      <c r="H113" s="17"/>
    </row>
    <row r="114" spans="1:8" ht="15.75" customHeight="1" x14ac:dyDescent="0.3">
      <c r="A114" s="17" t="s">
        <v>68</v>
      </c>
      <c r="B114" s="17" t="s">
        <v>23</v>
      </c>
      <c r="C114" s="17">
        <v>1221000</v>
      </c>
      <c r="D114" s="17">
        <v>1136000</v>
      </c>
      <c r="E114" s="17">
        <v>900000</v>
      </c>
      <c r="F114" s="17">
        <v>768000</v>
      </c>
      <c r="H114" s="17"/>
    </row>
    <row r="115" spans="1:8" ht="15.75" customHeight="1" x14ac:dyDescent="0.3">
      <c r="A115" s="17" t="s">
        <v>68</v>
      </c>
      <c r="B115" s="17" t="s">
        <v>24</v>
      </c>
      <c r="C115" s="17">
        <v>2676000</v>
      </c>
      <c r="D115" s="17">
        <v>2611000</v>
      </c>
      <c r="E115" s="17">
        <v>2141000</v>
      </c>
      <c r="F115" s="17">
        <v>1906000</v>
      </c>
      <c r="H115" s="17"/>
    </row>
    <row r="116" spans="1:8" ht="15.75" customHeight="1" x14ac:dyDescent="0.3">
      <c r="A116" s="17" t="s">
        <v>68</v>
      </c>
      <c r="B116" s="17" t="s">
        <v>25</v>
      </c>
      <c r="C116" s="17">
        <v>1512000</v>
      </c>
      <c r="D116" s="17">
        <v>1480000</v>
      </c>
      <c r="E116" s="17">
        <v>1214000</v>
      </c>
      <c r="F116" s="17">
        <v>1134000</v>
      </c>
      <c r="H116" s="17"/>
    </row>
    <row r="117" spans="1:8" ht="15.75" customHeight="1" x14ac:dyDescent="0.3">
      <c r="A117" s="17" t="s">
        <v>69</v>
      </c>
      <c r="B117" s="17" t="s">
        <v>21</v>
      </c>
      <c r="C117" s="17">
        <v>531000</v>
      </c>
      <c r="D117" s="17">
        <v>510000</v>
      </c>
      <c r="E117" s="17">
        <v>329000</v>
      </c>
      <c r="F117" s="17">
        <v>303000</v>
      </c>
      <c r="H117" s="17"/>
    </row>
    <row r="118" spans="1:8" ht="15.75" customHeight="1" x14ac:dyDescent="0.3">
      <c r="A118" s="17" t="s">
        <v>69</v>
      </c>
      <c r="B118" s="17" t="s">
        <v>22</v>
      </c>
      <c r="C118" s="17">
        <v>650000</v>
      </c>
      <c r="D118" s="17">
        <v>596000</v>
      </c>
      <c r="E118" s="17">
        <v>435000</v>
      </c>
      <c r="F118" s="17">
        <v>384000</v>
      </c>
      <c r="H118" s="17"/>
    </row>
    <row r="119" spans="1:8" ht="15.75" customHeight="1" x14ac:dyDescent="0.3">
      <c r="A119" s="17" t="s">
        <v>69</v>
      </c>
      <c r="B119" s="17" t="s">
        <v>23</v>
      </c>
      <c r="C119" s="17">
        <v>701000</v>
      </c>
      <c r="D119" s="17">
        <v>659000</v>
      </c>
      <c r="E119" s="17">
        <v>518000</v>
      </c>
      <c r="F119" s="17">
        <v>478000</v>
      </c>
      <c r="H119" s="17"/>
    </row>
    <row r="120" spans="1:8" ht="15.75" customHeight="1" x14ac:dyDescent="0.3">
      <c r="A120" s="17" t="s">
        <v>69</v>
      </c>
      <c r="B120" s="17" t="s">
        <v>24</v>
      </c>
      <c r="C120" s="17">
        <v>1410000</v>
      </c>
      <c r="D120" s="17">
        <v>1387000</v>
      </c>
      <c r="E120" s="17">
        <v>1151000</v>
      </c>
      <c r="F120" s="17">
        <v>1081000</v>
      </c>
      <c r="H120" s="17"/>
    </row>
    <row r="121" spans="1:8" ht="15.75" customHeight="1" x14ac:dyDescent="0.3">
      <c r="A121" s="17" t="s">
        <v>69</v>
      </c>
      <c r="B121" s="17" t="s">
        <v>25</v>
      </c>
      <c r="C121" s="17">
        <v>762000</v>
      </c>
      <c r="D121" s="17">
        <v>751000</v>
      </c>
      <c r="E121" s="17">
        <v>652000</v>
      </c>
      <c r="F121" s="17">
        <v>613000</v>
      </c>
      <c r="H121" s="17"/>
    </row>
    <row r="122" spans="1:8" ht="15.75" customHeight="1" x14ac:dyDescent="0.3">
      <c r="A122" s="17" t="s">
        <v>70</v>
      </c>
      <c r="B122" s="17" t="s">
        <v>21</v>
      </c>
      <c r="C122" s="17">
        <v>300000</v>
      </c>
      <c r="D122" s="17">
        <v>294000</v>
      </c>
      <c r="E122" s="17">
        <v>222000</v>
      </c>
      <c r="F122" s="17">
        <v>187000</v>
      </c>
      <c r="H122" s="17"/>
    </row>
    <row r="123" spans="1:8" ht="15.75" customHeight="1" x14ac:dyDescent="0.3">
      <c r="A123" s="17" t="s">
        <v>70</v>
      </c>
      <c r="B123" s="17" t="s">
        <v>22</v>
      </c>
      <c r="C123" s="17">
        <v>397000</v>
      </c>
      <c r="D123" s="17">
        <v>390000</v>
      </c>
      <c r="E123" s="17">
        <v>333000</v>
      </c>
      <c r="F123" s="17">
        <v>279000</v>
      </c>
      <c r="H123" s="17"/>
    </row>
    <row r="124" spans="1:8" ht="15.75" customHeight="1" x14ac:dyDescent="0.3">
      <c r="A124" s="17" t="s">
        <v>70</v>
      </c>
      <c r="B124" s="17" t="s">
        <v>23</v>
      </c>
      <c r="C124" s="17">
        <v>320000</v>
      </c>
      <c r="D124" s="17">
        <v>309000</v>
      </c>
      <c r="E124" s="17">
        <v>255000</v>
      </c>
      <c r="F124" s="17">
        <v>222000</v>
      </c>
      <c r="H124" s="17"/>
    </row>
    <row r="125" spans="1:8" ht="15.75" customHeight="1" x14ac:dyDescent="0.3">
      <c r="A125" s="17" t="s">
        <v>70</v>
      </c>
      <c r="B125" s="17" t="s">
        <v>24</v>
      </c>
      <c r="C125" s="17">
        <v>734000</v>
      </c>
      <c r="D125" s="17">
        <v>727000</v>
      </c>
      <c r="E125" s="17">
        <v>614000</v>
      </c>
      <c r="F125" s="17">
        <v>563000</v>
      </c>
      <c r="H125" s="17"/>
    </row>
    <row r="126" spans="1:8" ht="15.75" customHeight="1" x14ac:dyDescent="0.3">
      <c r="A126" s="17" t="s">
        <v>70</v>
      </c>
      <c r="B126" s="17" t="s">
        <v>25</v>
      </c>
      <c r="C126" s="17">
        <v>416000</v>
      </c>
      <c r="D126" s="17">
        <v>410000</v>
      </c>
      <c r="E126" s="17">
        <v>371000</v>
      </c>
      <c r="F126" s="17">
        <v>337000</v>
      </c>
      <c r="H126" s="17"/>
    </row>
    <row r="127" spans="1:8" ht="15.75" customHeight="1" x14ac:dyDescent="0.3">
      <c r="A127" s="17" t="s">
        <v>71</v>
      </c>
      <c r="B127" s="17" t="s">
        <v>21</v>
      </c>
      <c r="C127" s="17">
        <v>525000</v>
      </c>
      <c r="D127" s="17">
        <v>520000</v>
      </c>
      <c r="E127" s="17">
        <v>332000</v>
      </c>
      <c r="F127" s="17">
        <v>223000</v>
      </c>
      <c r="H127" s="17"/>
    </row>
    <row r="128" spans="1:8" ht="15.75" customHeight="1" x14ac:dyDescent="0.3">
      <c r="A128" s="17" t="s">
        <v>71</v>
      </c>
      <c r="B128" s="17" t="s">
        <v>22</v>
      </c>
      <c r="C128" s="17">
        <v>857000</v>
      </c>
      <c r="D128" s="17">
        <v>809000</v>
      </c>
      <c r="E128" s="17">
        <v>585000</v>
      </c>
      <c r="F128" s="17">
        <v>448000</v>
      </c>
      <c r="H128" s="17"/>
    </row>
    <row r="129" spans="1:8" ht="15.75" customHeight="1" x14ac:dyDescent="0.3">
      <c r="A129" s="17" t="s">
        <v>71</v>
      </c>
      <c r="B129" s="17" t="s">
        <v>23</v>
      </c>
      <c r="C129" s="17">
        <v>669000</v>
      </c>
      <c r="D129" s="17">
        <v>651000</v>
      </c>
      <c r="E129" s="17">
        <v>498000</v>
      </c>
      <c r="F129" s="17">
        <v>427000</v>
      </c>
      <c r="H129" s="17"/>
    </row>
    <row r="130" spans="1:8" ht="15.75" customHeight="1" x14ac:dyDescent="0.3">
      <c r="A130" s="17" t="s">
        <v>71</v>
      </c>
      <c r="B130" s="17" t="s">
        <v>24</v>
      </c>
      <c r="C130" s="17">
        <v>1714000</v>
      </c>
      <c r="D130" s="17">
        <v>1684000</v>
      </c>
      <c r="E130" s="17">
        <v>1344000</v>
      </c>
      <c r="F130" s="17">
        <v>1175000</v>
      </c>
      <c r="H130" s="17"/>
    </row>
    <row r="131" spans="1:8" ht="15.75" customHeight="1" x14ac:dyDescent="0.3">
      <c r="A131" s="17" t="s">
        <v>71</v>
      </c>
      <c r="B131" s="17" t="s">
        <v>25</v>
      </c>
      <c r="C131" s="17">
        <v>755000</v>
      </c>
      <c r="D131" s="17">
        <v>745000</v>
      </c>
      <c r="E131" s="17">
        <v>624000</v>
      </c>
      <c r="F131" s="17">
        <v>545000</v>
      </c>
      <c r="H131" s="17"/>
    </row>
    <row r="132" spans="1:8" ht="15.75" customHeight="1" x14ac:dyDescent="0.3">
      <c r="A132" s="17" t="s">
        <v>72</v>
      </c>
      <c r="B132" s="17" t="s">
        <v>21</v>
      </c>
      <c r="C132" s="17">
        <v>82000</v>
      </c>
      <c r="D132" s="17">
        <v>79000</v>
      </c>
      <c r="E132" s="17">
        <v>53000</v>
      </c>
      <c r="F132" s="17">
        <v>33000</v>
      </c>
      <c r="H132" s="17"/>
    </row>
    <row r="133" spans="1:8" ht="15.75" customHeight="1" x14ac:dyDescent="0.3">
      <c r="A133" s="17" t="s">
        <v>72</v>
      </c>
      <c r="B133" s="17" t="s">
        <v>22</v>
      </c>
      <c r="C133" s="17">
        <v>138000</v>
      </c>
      <c r="D133" s="17">
        <v>137000</v>
      </c>
      <c r="E133" s="17">
        <v>77000</v>
      </c>
      <c r="F133" s="17">
        <v>65000</v>
      </c>
      <c r="H133" s="17"/>
    </row>
    <row r="134" spans="1:8" ht="15.75" customHeight="1" x14ac:dyDescent="0.3">
      <c r="A134" s="17" t="s">
        <v>72</v>
      </c>
      <c r="B134" s="17" t="s">
        <v>23</v>
      </c>
      <c r="C134" s="17">
        <v>109000</v>
      </c>
      <c r="D134" s="17">
        <v>105000</v>
      </c>
      <c r="E134" s="17">
        <v>69000</v>
      </c>
      <c r="F134" s="17">
        <v>62000</v>
      </c>
      <c r="H134" s="17"/>
    </row>
    <row r="135" spans="1:8" ht="15.75" customHeight="1" x14ac:dyDescent="0.3">
      <c r="A135" s="17" t="s">
        <v>72</v>
      </c>
      <c r="B135" s="17" t="s">
        <v>24</v>
      </c>
      <c r="C135" s="17">
        <v>254000</v>
      </c>
      <c r="D135" s="17">
        <v>249000</v>
      </c>
      <c r="E135" s="17">
        <v>201000</v>
      </c>
      <c r="F135" s="17">
        <v>189000</v>
      </c>
      <c r="H135" s="17"/>
    </row>
    <row r="136" spans="1:8" ht="15.75" customHeight="1" x14ac:dyDescent="0.3">
      <c r="A136" s="17" t="s">
        <v>72</v>
      </c>
      <c r="B136" s="17" t="s">
        <v>25</v>
      </c>
      <c r="C136" s="17">
        <v>186000</v>
      </c>
      <c r="D136" s="17">
        <v>184000</v>
      </c>
      <c r="E136" s="17">
        <v>153000</v>
      </c>
      <c r="F136" s="17">
        <v>146000</v>
      </c>
      <c r="H136" s="17"/>
    </row>
    <row r="137" spans="1:8" ht="15.75" customHeight="1" x14ac:dyDescent="0.3">
      <c r="A137" s="17" t="s">
        <v>73</v>
      </c>
      <c r="B137" s="17" t="s">
        <v>21</v>
      </c>
      <c r="C137" s="17">
        <v>168000</v>
      </c>
      <c r="D137" s="17">
        <v>151000</v>
      </c>
      <c r="E137" s="17">
        <v>71000</v>
      </c>
      <c r="F137" s="17">
        <v>61000</v>
      </c>
      <c r="H137" s="17"/>
    </row>
    <row r="138" spans="1:8" ht="15.75" customHeight="1" x14ac:dyDescent="0.3">
      <c r="A138" s="17" t="s">
        <v>73</v>
      </c>
      <c r="B138" s="17" t="s">
        <v>22</v>
      </c>
      <c r="C138" s="17">
        <v>242000</v>
      </c>
      <c r="D138" s="17">
        <v>224000</v>
      </c>
      <c r="E138" s="17">
        <v>137000</v>
      </c>
      <c r="F138" s="17">
        <v>110000</v>
      </c>
      <c r="H138" s="17"/>
    </row>
    <row r="139" spans="1:8" ht="15.75" customHeight="1" x14ac:dyDescent="0.3">
      <c r="A139" s="17" t="s">
        <v>73</v>
      </c>
      <c r="B139" s="17" t="s">
        <v>23</v>
      </c>
      <c r="C139" s="17">
        <v>235000</v>
      </c>
      <c r="D139" s="17">
        <v>218000</v>
      </c>
      <c r="E139" s="17">
        <v>145000</v>
      </c>
      <c r="F139" s="17">
        <v>128000</v>
      </c>
      <c r="H139" s="17"/>
    </row>
    <row r="140" spans="1:8" ht="15.75" customHeight="1" x14ac:dyDescent="0.3">
      <c r="A140" s="17" t="s">
        <v>73</v>
      </c>
      <c r="B140" s="17" t="s">
        <v>24</v>
      </c>
      <c r="C140" s="17">
        <v>462000</v>
      </c>
      <c r="D140" s="17">
        <v>445000</v>
      </c>
      <c r="E140" s="17">
        <v>331000</v>
      </c>
      <c r="F140" s="17">
        <v>300000</v>
      </c>
      <c r="H140" s="17"/>
    </row>
    <row r="141" spans="1:8" ht="15.75" customHeight="1" x14ac:dyDescent="0.3">
      <c r="A141" s="17" t="s">
        <v>73</v>
      </c>
      <c r="B141" s="17" t="s">
        <v>25</v>
      </c>
      <c r="C141" s="17">
        <v>264000</v>
      </c>
      <c r="D141" s="17">
        <v>259000</v>
      </c>
      <c r="E141" s="17">
        <v>217000</v>
      </c>
      <c r="F141" s="17">
        <v>200000</v>
      </c>
      <c r="H141" s="17"/>
    </row>
    <row r="142" spans="1:8" ht="15.75" customHeight="1" x14ac:dyDescent="0.3">
      <c r="A142" s="17" t="s">
        <v>74</v>
      </c>
      <c r="B142" s="17" t="s">
        <v>21</v>
      </c>
      <c r="C142" s="17">
        <v>320000</v>
      </c>
      <c r="D142" s="17">
        <v>295000</v>
      </c>
      <c r="E142" s="17">
        <v>145000</v>
      </c>
      <c r="F142" s="17">
        <v>122000</v>
      </c>
      <c r="H142" s="17"/>
    </row>
    <row r="143" spans="1:8" ht="15.75" customHeight="1" x14ac:dyDescent="0.3">
      <c r="A143" s="17" t="s">
        <v>74</v>
      </c>
      <c r="B143" s="17" t="s">
        <v>22</v>
      </c>
      <c r="C143" s="17">
        <v>364000</v>
      </c>
      <c r="D143" s="17">
        <v>310000</v>
      </c>
      <c r="E143" s="17">
        <v>189000</v>
      </c>
      <c r="F143" s="17">
        <v>158000</v>
      </c>
      <c r="H143" s="17"/>
    </row>
    <row r="144" spans="1:8" ht="15.75" customHeight="1" x14ac:dyDescent="0.3">
      <c r="A144" s="17" t="s">
        <v>74</v>
      </c>
      <c r="B144" s="17" t="s">
        <v>23</v>
      </c>
      <c r="C144" s="17">
        <v>307000</v>
      </c>
      <c r="D144" s="17">
        <v>247000</v>
      </c>
      <c r="E144" s="17">
        <v>158000</v>
      </c>
      <c r="F144" s="17">
        <v>146000</v>
      </c>
      <c r="H144" s="17"/>
    </row>
    <row r="145" spans="1:8" ht="15.75" customHeight="1" x14ac:dyDescent="0.3">
      <c r="A145" s="17" t="s">
        <v>74</v>
      </c>
      <c r="B145" s="17" t="s">
        <v>24</v>
      </c>
      <c r="C145" s="17">
        <v>680000</v>
      </c>
      <c r="D145" s="17">
        <v>606000</v>
      </c>
      <c r="E145" s="17">
        <v>413000</v>
      </c>
      <c r="F145" s="17">
        <v>376000</v>
      </c>
      <c r="H145" s="17"/>
    </row>
    <row r="146" spans="1:8" ht="15.75" customHeight="1" x14ac:dyDescent="0.3">
      <c r="A146" s="17" t="s">
        <v>74</v>
      </c>
      <c r="B146" s="17" t="s">
        <v>25</v>
      </c>
      <c r="C146" s="17">
        <v>369000</v>
      </c>
      <c r="D146" s="17">
        <v>350000</v>
      </c>
      <c r="E146" s="17">
        <v>270000</v>
      </c>
      <c r="F146" s="17">
        <v>246000</v>
      </c>
      <c r="H146" s="17"/>
    </row>
    <row r="147" spans="1:8" ht="15.75" customHeight="1" x14ac:dyDescent="0.3">
      <c r="A147" s="17" t="s">
        <v>75</v>
      </c>
      <c r="B147" s="17" t="s">
        <v>21</v>
      </c>
      <c r="C147" s="17">
        <v>123000</v>
      </c>
      <c r="D147" s="17">
        <v>119000</v>
      </c>
      <c r="E147" s="17">
        <v>71000</v>
      </c>
      <c r="F147" s="17">
        <v>61000</v>
      </c>
      <c r="H147" s="17"/>
    </row>
    <row r="148" spans="1:8" ht="15.75" customHeight="1" x14ac:dyDescent="0.3">
      <c r="A148" s="17" t="s">
        <v>75</v>
      </c>
      <c r="B148" s="17" t="s">
        <v>22</v>
      </c>
      <c r="C148" s="17">
        <v>160000</v>
      </c>
      <c r="D148" s="17">
        <v>147000</v>
      </c>
      <c r="E148" s="17">
        <v>99000</v>
      </c>
      <c r="F148" s="17">
        <v>91000</v>
      </c>
      <c r="H148" s="17"/>
    </row>
    <row r="149" spans="1:8" ht="15.75" customHeight="1" x14ac:dyDescent="0.3">
      <c r="A149" s="17" t="s">
        <v>75</v>
      </c>
      <c r="B149" s="17" t="s">
        <v>23</v>
      </c>
      <c r="C149" s="17">
        <v>150000</v>
      </c>
      <c r="D149" s="17">
        <v>143000</v>
      </c>
      <c r="E149" s="17">
        <v>100000</v>
      </c>
      <c r="F149" s="17">
        <v>90000</v>
      </c>
      <c r="H149" s="17"/>
    </row>
    <row r="150" spans="1:8" ht="15.75" customHeight="1" x14ac:dyDescent="0.3">
      <c r="A150" s="17" t="s">
        <v>75</v>
      </c>
      <c r="B150" s="17" t="s">
        <v>24</v>
      </c>
      <c r="C150" s="17">
        <v>425000</v>
      </c>
      <c r="D150" s="17">
        <v>414000</v>
      </c>
      <c r="E150" s="17">
        <v>337000</v>
      </c>
      <c r="F150" s="17">
        <v>312000</v>
      </c>
      <c r="H150" s="17"/>
    </row>
    <row r="151" spans="1:8" ht="15.75" customHeight="1" x14ac:dyDescent="0.3">
      <c r="A151" s="17" t="s">
        <v>75</v>
      </c>
      <c r="B151" s="17" t="s">
        <v>25</v>
      </c>
      <c r="C151" s="17">
        <v>171000</v>
      </c>
      <c r="D151" s="17">
        <v>169000</v>
      </c>
      <c r="E151" s="17">
        <v>145000</v>
      </c>
      <c r="F151" s="17">
        <v>134000</v>
      </c>
      <c r="H151" s="17"/>
    </row>
    <row r="152" spans="1:8" ht="15.75" customHeight="1" x14ac:dyDescent="0.3">
      <c r="A152" s="17" t="s">
        <v>76</v>
      </c>
      <c r="B152" s="17" t="s">
        <v>21</v>
      </c>
      <c r="C152" s="17">
        <v>792000</v>
      </c>
      <c r="D152" s="17">
        <v>707000</v>
      </c>
      <c r="E152" s="17">
        <v>379000</v>
      </c>
      <c r="F152" s="17">
        <v>276000</v>
      </c>
      <c r="H152" s="17"/>
    </row>
    <row r="153" spans="1:8" ht="15.75" customHeight="1" x14ac:dyDescent="0.3">
      <c r="A153" s="17" t="s">
        <v>76</v>
      </c>
      <c r="B153" s="17" t="s">
        <v>22</v>
      </c>
      <c r="C153" s="17">
        <v>1068000</v>
      </c>
      <c r="D153" s="17">
        <v>842000</v>
      </c>
      <c r="E153" s="17">
        <v>556000</v>
      </c>
      <c r="F153" s="17">
        <v>475000</v>
      </c>
      <c r="H153" s="17"/>
    </row>
    <row r="154" spans="1:8" ht="15.75" customHeight="1" x14ac:dyDescent="0.3">
      <c r="A154" s="17" t="s">
        <v>76</v>
      </c>
      <c r="B154" s="17" t="s">
        <v>23</v>
      </c>
      <c r="C154" s="17">
        <v>1186000</v>
      </c>
      <c r="D154" s="17">
        <v>939000</v>
      </c>
      <c r="E154" s="17">
        <v>655000</v>
      </c>
      <c r="F154" s="17">
        <v>536000</v>
      </c>
      <c r="H154" s="17"/>
    </row>
    <row r="155" spans="1:8" ht="15.75" customHeight="1" x14ac:dyDescent="0.3">
      <c r="A155" s="17" t="s">
        <v>76</v>
      </c>
      <c r="B155" s="17" t="s">
        <v>24</v>
      </c>
      <c r="C155" s="17">
        <v>2424000</v>
      </c>
      <c r="D155" s="17">
        <v>2217000</v>
      </c>
      <c r="E155" s="17">
        <v>1732000</v>
      </c>
      <c r="F155" s="17">
        <v>1545000</v>
      </c>
      <c r="H155" s="17"/>
    </row>
    <row r="156" spans="1:8" ht="15.75" customHeight="1" x14ac:dyDescent="0.3">
      <c r="A156" s="17" t="s">
        <v>76</v>
      </c>
      <c r="B156" s="17" t="s">
        <v>25</v>
      </c>
      <c r="C156" s="17">
        <v>1259000</v>
      </c>
      <c r="D156" s="17">
        <v>1224000</v>
      </c>
      <c r="E156" s="17">
        <v>1004000</v>
      </c>
      <c r="F156" s="17">
        <v>838000</v>
      </c>
      <c r="H156" s="17"/>
    </row>
    <row r="157" spans="1:8" ht="15.75" customHeight="1" x14ac:dyDescent="0.3">
      <c r="A157" s="17" t="s">
        <v>77</v>
      </c>
      <c r="B157" s="17" t="s">
        <v>21</v>
      </c>
      <c r="C157" s="17">
        <v>177000</v>
      </c>
      <c r="D157" s="17">
        <v>163000</v>
      </c>
      <c r="E157" s="17">
        <v>84000</v>
      </c>
      <c r="F157" s="17">
        <v>66000</v>
      </c>
      <c r="H157" s="17"/>
    </row>
    <row r="158" spans="1:8" ht="15.75" customHeight="1" x14ac:dyDescent="0.3">
      <c r="A158" s="17" t="s">
        <v>77</v>
      </c>
      <c r="B158" s="17" t="s">
        <v>22</v>
      </c>
      <c r="C158" s="17">
        <v>286000</v>
      </c>
      <c r="D158" s="17">
        <v>248000</v>
      </c>
      <c r="E158" s="17">
        <v>157000</v>
      </c>
      <c r="F158" s="17">
        <v>130000</v>
      </c>
      <c r="H158" s="17"/>
    </row>
    <row r="159" spans="1:8" ht="15.75" customHeight="1" x14ac:dyDescent="0.3">
      <c r="A159" s="17" t="s">
        <v>77</v>
      </c>
      <c r="B159" s="17" t="s">
        <v>23</v>
      </c>
      <c r="C159" s="17">
        <v>257000</v>
      </c>
      <c r="D159" s="17">
        <v>224000</v>
      </c>
      <c r="E159" s="17">
        <v>139000</v>
      </c>
      <c r="F159" s="17">
        <v>123000</v>
      </c>
      <c r="H159" s="17"/>
    </row>
    <row r="160" spans="1:8" ht="15.75" customHeight="1" x14ac:dyDescent="0.3">
      <c r="A160" s="17" t="s">
        <v>77</v>
      </c>
      <c r="B160" s="17" t="s">
        <v>24</v>
      </c>
      <c r="C160" s="17">
        <v>588000</v>
      </c>
      <c r="D160" s="17">
        <v>551000</v>
      </c>
      <c r="E160" s="17">
        <v>414000</v>
      </c>
      <c r="F160" s="17">
        <v>390000</v>
      </c>
      <c r="H160" s="17"/>
    </row>
    <row r="161" spans="1:8" ht="15.75" customHeight="1" x14ac:dyDescent="0.3">
      <c r="A161" s="17" t="s">
        <v>77</v>
      </c>
      <c r="B161" s="17" t="s">
        <v>25</v>
      </c>
      <c r="C161" s="17">
        <v>246000</v>
      </c>
      <c r="D161" s="17">
        <v>240000</v>
      </c>
      <c r="E161" s="17">
        <v>185000</v>
      </c>
      <c r="F161" s="17">
        <v>169000</v>
      </c>
      <c r="H161" s="17"/>
    </row>
    <row r="162" spans="1:8" ht="15.75" customHeight="1" x14ac:dyDescent="0.3">
      <c r="A162" s="17" t="s">
        <v>78</v>
      </c>
      <c r="B162" s="17" t="s">
        <v>21</v>
      </c>
      <c r="C162" s="17">
        <v>2028000</v>
      </c>
      <c r="D162" s="17">
        <v>1790000</v>
      </c>
      <c r="E162" s="17">
        <v>926000</v>
      </c>
      <c r="F162" s="17">
        <v>710000</v>
      </c>
      <c r="H162" s="17"/>
    </row>
    <row r="163" spans="1:8" ht="15.75" customHeight="1" x14ac:dyDescent="0.3">
      <c r="A163" s="17" t="s">
        <v>78</v>
      </c>
      <c r="B163" s="17" t="s">
        <v>22</v>
      </c>
      <c r="C163" s="17">
        <v>2775000</v>
      </c>
      <c r="D163" s="17">
        <v>2171000</v>
      </c>
      <c r="E163" s="17">
        <v>1387000</v>
      </c>
      <c r="F163" s="17">
        <v>1145000</v>
      </c>
      <c r="H163" s="17"/>
    </row>
    <row r="164" spans="1:8" ht="15.75" customHeight="1" x14ac:dyDescent="0.3">
      <c r="A164" s="17" t="s">
        <v>78</v>
      </c>
      <c r="B164" s="17" t="s">
        <v>23</v>
      </c>
      <c r="C164" s="17">
        <v>2334000</v>
      </c>
      <c r="D164" s="17">
        <v>1871000</v>
      </c>
      <c r="E164" s="17">
        <v>1288000</v>
      </c>
      <c r="F164" s="17">
        <v>1133000</v>
      </c>
      <c r="H164" s="17"/>
    </row>
    <row r="165" spans="1:8" ht="15.75" customHeight="1" x14ac:dyDescent="0.3">
      <c r="A165" s="17" t="s">
        <v>78</v>
      </c>
      <c r="B165" s="17" t="s">
        <v>24</v>
      </c>
      <c r="C165" s="17">
        <v>5217000</v>
      </c>
      <c r="D165" s="17">
        <v>4706000</v>
      </c>
      <c r="E165" s="17">
        <v>3381000</v>
      </c>
      <c r="F165" s="17">
        <v>3046000</v>
      </c>
      <c r="H165" s="17"/>
    </row>
    <row r="166" spans="1:8" ht="15.75" customHeight="1" x14ac:dyDescent="0.3">
      <c r="A166" s="17" t="s">
        <v>78</v>
      </c>
      <c r="B166" s="17" t="s">
        <v>25</v>
      </c>
      <c r="C166" s="17">
        <v>2712000</v>
      </c>
      <c r="D166" s="17">
        <v>2543000</v>
      </c>
      <c r="E166" s="17">
        <v>1904000</v>
      </c>
      <c r="F166" s="17">
        <v>1642000</v>
      </c>
      <c r="H166" s="17"/>
    </row>
    <row r="167" spans="1:8" ht="15.75" customHeight="1" x14ac:dyDescent="0.3">
      <c r="A167" s="17" t="s">
        <v>79</v>
      </c>
      <c r="B167" s="17" t="s">
        <v>21</v>
      </c>
      <c r="C167" s="17">
        <v>863000</v>
      </c>
      <c r="D167" s="17">
        <v>779000</v>
      </c>
      <c r="E167" s="17">
        <v>496000</v>
      </c>
      <c r="F167" s="17">
        <v>389000</v>
      </c>
      <c r="H167" s="17"/>
    </row>
    <row r="168" spans="1:8" ht="15.75" customHeight="1" x14ac:dyDescent="0.3">
      <c r="A168" s="17" t="s">
        <v>79</v>
      </c>
      <c r="B168" s="17" t="s">
        <v>22</v>
      </c>
      <c r="C168" s="17">
        <v>1220000</v>
      </c>
      <c r="D168" s="17">
        <v>1021000</v>
      </c>
      <c r="E168" s="17">
        <v>816000</v>
      </c>
      <c r="F168" s="17">
        <v>676000</v>
      </c>
      <c r="H168" s="17"/>
    </row>
    <row r="169" spans="1:8" ht="15.75" customHeight="1" x14ac:dyDescent="0.3">
      <c r="A169" s="17" t="s">
        <v>79</v>
      </c>
      <c r="B169" s="17" t="s">
        <v>23</v>
      </c>
      <c r="C169" s="17">
        <v>1320000</v>
      </c>
      <c r="D169" s="17">
        <v>1172000</v>
      </c>
      <c r="E169" s="17">
        <v>919000</v>
      </c>
      <c r="F169" s="17">
        <v>792000</v>
      </c>
      <c r="H169" s="17"/>
    </row>
    <row r="170" spans="1:8" ht="15.75" customHeight="1" x14ac:dyDescent="0.3">
      <c r="A170" s="17" t="s">
        <v>79</v>
      </c>
      <c r="B170" s="17" t="s">
        <v>24</v>
      </c>
      <c r="C170" s="17">
        <v>2470000</v>
      </c>
      <c r="D170" s="17">
        <v>2373000</v>
      </c>
      <c r="E170" s="17">
        <v>1925000</v>
      </c>
      <c r="F170" s="17">
        <v>1710000</v>
      </c>
      <c r="H170" s="17"/>
    </row>
    <row r="171" spans="1:8" ht="15.75" customHeight="1" x14ac:dyDescent="0.3">
      <c r="A171" s="17" t="s">
        <v>79</v>
      </c>
      <c r="B171" s="17" t="s">
        <v>25</v>
      </c>
      <c r="C171" s="17">
        <v>1390000</v>
      </c>
      <c r="D171" s="17">
        <v>1366000</v>
      </c>
      <c r="E171" s="17">
        <v>1138000</v>
      </c>
      <c r="F171" s="17">
        <v>1057000</v>
      </c>
      <c r="H171" s="17"/>
    </row>
    <row r="172" spans="1:8" ht="15.75" customHeight="1" x14ac:dyDescent="0.3">
      <c r="A172" s="17" t="s">
        <v>80</v>
      </c>
      <c r="B172" s="17" t="s">
        <v>21</v>
      </c>
      <c r="C172" s="17">
        <v>67000</v>
      </c>
      <c r="D172" s="17">
        <v>66000</v>
      </c>
      <c r="E172" s="17">
        <v>43000</v>
      </c>
      <c r="F172" s="17">
        <v>32000</v>
      </c>
      <c r="H172" s="17"/>
    </row>
    <row r="173" spans="1:8" ht="15.75" customHeight="1" x14ac:dyDescent="0.3">
      <c r="A173" s="17" t="s">
        <v>80</v>
      </c>
      <c r="B173" s="17" t="s">
        <v>22</v>
      </c>
      <c r="C173" s="17">
        <v>111000</v>
      </c>
      <c r="D173" s="17">
        <v>106000</v>
      </c>
      <c r="E173" s="17">
        <v>74000</v>
      </c>
      <c r="F173" s="17">
        <v>62000</v>
      </c>
      <c r="H173" s="17"/>
    </row>
    <row r="174" spans="1:8" ht="15.75" customHeight="1" x14ac:dyDescent="0.3">
      <c r="A174" s="17" t="s">
        <v>80</v>
      </c>
      <c r="B174" s="17" t="s">
        <v>23</v>
      </c>
      <c r="C174" s="17">
        <v>71000</v>
      </c>
      <c r="D174" s="17">
        <v>69000</v>
      </c>
      <c r="E174" s="17">
        <v>55000</v>
      </c>
      <c r="F174" s="17">
        <v>44000</v>
      </c>
      <c r="H174" s="17"/>
    </row>
    <row r="175" spans="1:8" ht="15.75" customHeight="1" x14ac:dyDescent="0.3">
      <c r="A175" s="17" t="s">
        <v>80</v>
      </c>
      <c r="B175" s="17" t="s">
        <v>24</v>
      </c>
      <c r="C175" s="17">
        <v>194000</v>
      </c>
      <c r="D175" s="17">
        <v>190000</v>
      </c>
      <c r="E175" s="17">
        <v>148000</v>
      </c>
      <c r="F175" s="17">
        <v>129000</v>
      </c>
      <c r="H175" s="17"/>
    </row>
    <row r="176" spans="1:8" ht="15.75" customHeight="1" x14ac:dyDescent="0.3">
      <c r="A176" s="17" t="s">
        <v>80</v>
      </c>
      <c r="B176" s="17" t="s">
        <v>25</v>
      </c>
      <c r="C176" s="17">
        <v>85000</v>
      </c>
      <c r="D176" s="17">
        <v>84000</v>
      </c>
      <c r="E176" s="17">
        <v>64000</v>
      </c>
      <c r="F176" s="17">
        <v>61000</v>
      </c>
      <c r="H176" s="17"/>
    </row>
    <row r="177" spans="1:8" ht="15.75" customHeight="1" x14ac:dyDescent="0.3">
      <c r="A177" s="17" t="s">
        <v>81</v>
      </c>
      <c r="B177" s="17" t="s">
        <v>21</v>
      </c>
      <c r="C177" s="17">
        <v>1145000</v>
      </c>
      <c r="D177" s="17">
        <v>1105000</v>
      </c>
      <c r="E177" s="17">
        <v>629000</v>
      </c>
      <c r="F177" s="17">
        <v>511000</v>
      </c>
      <c r="H177" s="17"/>
    </row>
    <row r="178" spans="1:8" ht="15.75" customHeight="1" x14ac:dyDescent="0.3">
      <c r="A178" s="17" t="s">
        <v>81</v>
      </c>
      <c r="B178" s="17" t="s">
        <v>22</v>
      </c>
      <c r="C178" s="17">
        <v>1413000</v>
      </c>
      <c r="D178" s="17">
        <v>1352000</v>
      </c>
      <c r="E178" s="17">
        <v>917000</v>
      </c>
      <c r="F178" s="17">
        <v>772000</v>
      </c>
      <c r="H178" s="17"/>
    </row>
    <row r="179" spans="1:8" ht="15.75" customHeight="1" x14ac:dyDescent="0.3">
      <c r="A179" s="17" t="s">
        <v>81</v>
      </c>
      <c r="B179" s="17" t="s">
        <v>23</v>
      </c>
      <c r="C179" s="17">
        <v>1340000</v>
      </c>
      <c r="D179" s="17">
        <v>1274000</v>
      </c>
      <c r="E179" s="17">
        <v>903000</v>
      </c>
      <c r="F179" s="17">
        <v>772000</v>
      </c>
      <c r="H179" s="17"/>
    </row>
    <row r="180" spans="1:8" ht="15.75" customHeight="1" x14ac:dyDescent="0.3">
      <c r="A180" s="17" t="s">
        <v>81</v>
      </c>
      <c r="B180" s="17" t="s">
        <v>24</v>
      </c>
      <c r="C180" s="17">
        <v>3213000</v>
      </c>
      <c r="D180" s="17">
        <v>3179000</v>
      </c>
      <c r="E180" s="17">
        <v>2325000</v>
      </c>
      <c r="F180" s="17">
        <v>2159000</v>
      </c>
      <c r="H180" s="17"/>
    </row>
    <row r="181" spans="1:8" ht="15.75" customHeight="1" x14ac:dyDescent="0.3">
      <c r="A181" s="17" t="s">
        <v>81</v>
      </c>
      <c r="B181" s="17" t="s">
        <v>25</v>
      </c>
      <c r="C181" s="17">
        <v>1640000</v>
      </c>
      <c r="D181" s="17">
        <v>1640000</v>
      </c>
      <c r="E181" s="17">
        <v>1302000</v>
      </c>
      <c r="F181" s="17">
        <v>1181000</v>
      </c>
      <c r="H181" s="17"/>
    </row>
    <row r="182" spans="1:8" ht="15.75" customHeight="1" x14ac:dyDescent="0.3">
      <c r="A182" s="17" t="s">
        <v>82</v>
      </c>
      <c r="B182" s="17" t="s">
        <v>21</v>
      </c>
      <c r="C182" s="17">
        <v>325000</v>
      </c>
      <c r="D182" s="17">
        <v>323000</v>
      </c>
      <c r="E182" s="17">
        <v>130000</v>
      </c>
      <c r="F182" s="17">
        <v>88000</v>
      </c>
      <c r="H182" s="17"/>
    </row>
    <row r="183" spans="1:8" ht="15.75" customHeight="1" x14ac:dyDescent="0.3">
      <c r="A183" s="17" t="s">
        <v>82</v>
      </c>
      <c r="B183" s="17" t="s">
        <v>22</v>
      </c>
      <c r="C183" s="17">
        <v>567000</v>
      </c>
      <c r="D183" s="17">
        <v>540000</v>
      </c>
      <c r="E183" s="17">
        <v>296000</v>
      </c>
      <c r="F183" s="17">
        <v>184000</v>
      </c>
      <c r="H183" s="17"/>
    </row>
    <row r="184" spans="1:8" ht="15.75" customHeight="1" x14ac:dyDescent="0.3">
      <c r="A184" s="17" t="s">
        <v>82</v>
      </c>
      <c r="B184" s="17" t="s">
        <v>23</v>
      </c>
      <c r="C184" s="17">
        <v>433000</v>
      </c>
      <c r="D184" s="17">
        <v>418000</v>
      </c>
      <c r="E184" s="17">
        <v>281000</v>
      </c>
      <c r="F184" s="17">
        <v>212000</v>
      </c>
      <c r="H184" s="17"/>
    </row>
    <row r="185" spans="1:8" ht="15.75" customHeight="1" x14ac:dyDescent="0.3">
      <c r="A185" s="17" t="s">
        <v>82</v>
      </c>
      <c r="B185" s="17" t="s">
        <v>24</v>
      </c>
      <c r="C185" s="17">
        <v>1001000</v>
      </c>
      <c r="D185" s="17">
        <v>980000</v>
      </c>
      <c r="E185" s="17">
        <v>720000</v>
      </c>
      <c r="F185" s="17">
        <v>602000</v>
      </c>
      <c r="H185" s="17"/>
    </row>
    <row r="186" spans="1:8" ht="15.75" customHeight="1" x14ac:dyDescent="0.3">
      <c r="A186" s="17" t="s">
        <v>82</v>
      </c>
      <c r="B186" s="17" t="s">
        <v>25</v>
      </c>
      <c r="C186" s="17">
        <v>483000</v>
      </c>
      <c r="D186" s="17">
        <v>473000</v>
      </c>
      <c r="E186" s="17">
        <v>378000</v>
      </c>
      <c r="F186" s="17">
        <v>345000</v>
      </c>
      <c r="H186" s="17"/>
    </row>
    <row r="187" spans="1:8" ht="15.75" customHeight="1" x14ac:dyDescent="0.3">
      <c r="A187" s="17" t="s">
        <v>83</v>
      </c>
      <c r="B187" s="17" t="s">
        <v>21</v>
      </c>
      <c r="C187" s="17">
        <v>391000</v>
      </c>
      <c r="D187" s="17">
        <v>364000</v>
      </c>
      <c r="E187" s="17">
        <v>216000</v>
      </c>
      <c r="F187" s="17">
        <v>186000</v>
      </c>
      <c r="H187" s="17"/>
    </row>
    <row r="188" spans="1:8" ht="15.75" customHeight="1" x14ac:dyDescent="0.3">
      <c r="A188" s="17" t="s">
        <v>83</v>
      </c>
      <c r="B188" s="17" t="s">
        <v>22</v>
      </c>
      <c r="C188" s="17">
        <v>461000</v>
      </c>
      <c r="D188" s="17">
        <v>399000</v>
      </c>
      <c r="E188" s="17">
        <v>256000</v>
      </c>
      <c r="F188" s="17">
        <v>215000</v>
      </c>
      <c r="H188" s="17"/>
    </row>
    <row r="189" spans="1:8" ht="15.75" customHeight="1" x14ac:dyDescent="0.3">
      <c r="A189" s="17" t="s">
        <v>83</v>
      </c>
      <c r="B189" s="17" t="s">
        <v>23</v>
      </c>
      <c r="C189" s="17">
        <v>527000</v>
      </c>
      <c r="D189" s="17">
        <v>479000</v>
      </c>
      <c r="E189" s="17">
        <v>345000</v>
      </c>
      <c r="F189" s="17">
        <v>296000</v>
      </c>
      <c r="H189" s="17"/>
    </row>
    <row r="190" spans="1:8" ht="15.75" customHeight="1" x14ac:dyDescent="0.3">
      <c r="A190" s="17" t="s">
        <v>83</v>
      </c>
      <c r="B190" s="17" t="s">
        <v>24</v>
      </c>
      <c r="C190" s="17">
        <v>1004000</v>
      </c>
      <c r="D190" s="17">
        <v>961000</v>
      </c>
      <c r="E190" s="17">
        <v>756000</v>
      </c>
      <c r="F190" s="17">
        <v>709000</v>
      </c>
      <c r="H190" s="17"/>
    </row>
    <row r="191" spans="1:8" ht="15.75" customHeight="1" x14ac:dyDescent="0.3">
      <c r="A191" s="17" t="s">
        <v>83</v>
      </c>
      <c r="B191" s="17" t="s">
        <v>25</v>
      </c>
      <c r="C191" s="17">
        <v>616000</v>
      </c>
      <c r="D191" s="17">
        <v>604000</v>
      </c>
      <c r="E191" s="17">
        <v>513000</v>
      </c>
      <c r="F191" s="17">
        <v>491000</v>
      </c>
      <c r="H191" s="17"/>
    </row>
    <row r="192" spans="1:8" ht="15.75" customHeight="1" x14ac:dyDescent="0.3">
      <c r="A192" s="17" t="s">
        <v>84</v>
      </c>
      <c r="B192" s="17" t="s">
        <v>21</v>
      </c>
      <c r="C192" s="17">
        <v>1198000</v>
      </c>
      <c r="D192" s="17">
        <v>1137000</v>
      </c>
      <c r="E192" s="17">
        <v>645000</v>
      </c>
      <c r="F192" s="17">
        <v>478000</v>
      </c>
      <c r="H192" s="17"/>
    </row>
    <row r="193" spans="1:8" ht="15.75" customHeight="1" x14ac:dyDescent="0.3">
      <c r="A193" s="17" t="s">
        <v>84</v>
      </c>
      <c r="B193" s="17" t="s">
        <v>22</v>
      </c>
      <c r="C193" s="17">
        <v>1543000</v>
      </c>
      <c r="D193" s="17">
        <v>1442000</v>
      </c>
      <c r="E193" s="17">
        <v>984000</v>
      </c>
      <c r="F193" s="17">
        <v>790000</v>
      </c>
      <c r="H193" s="17"/>
    </row>
    <row r="194" spans="1:8" ht="15.75" customHeight="1" x14ac:dyDescent="0.3">
      <c r="A194" s="17" t="s">
        <v>84</v>
      </c>
      <c r="B194" s="17" t="s">
        <v>23</v>
      </c>
      <c r="C194" s="17">
        <v>1520000</v>
      </c>
      <c r="D194" s="17">
        <v>1442000</v>
      </c>
      <c r="E194" s="17">
        <v>1054000</v>
      </c>
      <c r="F194" s="17">
        <v>928000</v>
      </c>
      <c r="H194" s="17"/>
    </row>
    <row r="195" spans="1:8" ht="15.75" customHeight="1" x14ac:dyDescent="0.3">
      <c r="A195" s="17" t="s">
        <v>84</v>
      </c>
      <c r="B195" s="17" t="s">
        <v>24</v>
      </c>
      <c r="C195" s="17">
        <v>3674000</v>
      </c>
      <c r="D195" s="17">
        <v>3547000</v>
      </c>
      <c r="E195" s="17">
        <v>2648000</v>
      </c>
      <c r="F195" s="17">
        <v>2331000</v>
      </c>
      <c r="H195" s="17"/>
    </row>
    <row r="196" spans="1:8" ht="15.75" customHeight="1" x14ac:dyDescent="0.3">
      <c r="A196" s="17" t="s">
        <v>84</v>
      </c>
      <c r="B196" s="17" t="s">
        <v>25</v>
      </c>
      <c r="C196" s="17">
        <v>1913000</v>
      </c>
      <c r="D196" s="17">
        <v>1883000</v>
      </c>
      <c r="E196" s="17">
        <v>1463000</v>
      </c>
      <c r="F196" s="17">
        <v>1297000</v>
      </c>
      <c r="H196" s="17"/>
    </row>
    <row r="197" spans="1:8" ht="15.75" customHeight="1" x14ac:dyDescent="0.3">
      <c r="A197" s="17" t="s">
        <v>85</v>
      </c>
      <c r="B197" s="17" t="s">
        <v>21</v>
      </c>
      <c r="C197" s="17">
        <v>99000</v>
      </c>
      <c r="D197" s="17">
        <v>89000</v>
      </c>
      <c r="E197" s="17">
        <v>61000</v>
      </c>
      <c r="F197" s="17">
        <v>45000</v>
      </c>
      <c r="H197" s="17"/>
    </row>
    <row r="198" spans="1:8" ht="15.75" customHeight="1" x14ac:dyDescent="0.3">
      <c r="A198" s="17" t="s">
        <v>85</v>
      </c>
      <c r="B198" s="17" t="s">
        <v>22</v>
      </c>
      <c r="C198" s="17">
        <v>121000</v>
      </c>
      <c r="D198" s="17">
        <v>108000</v>
      </c>
      <c r="E198" s="17">
        <v>70000</v>
      </c>
      <c r="F198" s="17">
        <v>58000</v>
      </c>
      <c r="H198" s="17"/>
    </row>
    <row r="199" spans="1:8" ht="15.75" customHeight="1" x14ac:dyDescent="0.3">
      <c r="A199" s="17" t="s">
        <v>85</v>
      </c>
      <c r="B199" s="17" t="s">
        <v>23</v>
      </c>
      <c r="C199" s="17">
        <v>150000</v>
      </c>
      <c r="D199" s="17">
        <v>127000</v>
      </c>
      <c r="E199" s="17">
        <v>89000</v>
      </c>
      <c r="F199" s="17">
        <v>76000</v>
      </c>
      <c r="H199" s="17"/>
    </row>
    <row r="200" spans="1:8" ht="15.75" customHeight="1" x14ac:dyDescent="0.3">
      <c r="A200" s="17" t="s">
        <v>85</v>
      </c>
      <c r="B200" s="17" t="s">
        <v>24</v>
      </c>
      <c r="C200" s="17">
        <v>290000</v>
      </c>
      <c r="D200" s="17">
        <v>272000</v>
      </c>
      <c r="E200" s="17">
        <v>213000</v>
      </c>
      <c r="F200" s="17">
        <v>185000</v>
      </c>
      <c r="H200" s="17"/>
    </row>
    <row r="201" spans="1:8" ht="15.75" customHeight="1" x14ac:dyDescent="0.3">
      <c r="A201" s="17" t="s">
        <v>85</v>
      </c>
      <c r="B201" s="17" t="s">
        <v>25</v>
      </c>
      <c r="C201" s="17">
        <v>158000</v>
      </c>
      <c r="D201" s="17">
        <v>155000</v>
      </c>
      <c r="E201" s="17">
        <v>119000</v>
      </c>
      <c r="F201" s="17">
        <v>105000</v>
      </c>
      <c r="H201" s="17"/>
    </row>
    <row r="202" spans="1:8" ht="15.75" customHeight="1" x14ac:dyDescent="0.3">
      <c r="A202" s="17" t="s">
        <v>86</v>
      </c>
      <c r="B202" s="17" t="s">
        <v>21</v>
      </c>
      <c r="C202" s="17">
        <v>474000</v>
      </c>
      <c r="D202" s="17">
        <v>451000</v>
      </c>
      <c r="E202" s="17">
        <v>265000</v>
      </c>
      <c r="F202" s="17">
        <v>243000</v>
      </c>
      <c r="H202" s="17"/>
    </row>
    <row r="203" spans="1:8" ht="15.75" customHeight="1" x14ac:dyDescent="0.3">
      <c r="A203" s="17" t="s">
        <v>86</v>
      </c>
      <c r="B203" s="17" t="s">
        <v>22</v>
      </c>
      <c r="C203" s="17">
        <v>510000</v>
      </c>
      <c r="D203" s="17">
        <v>476000</v>
      </c>
      <c r="E203" s="17">
        <v>364000</v>
      </c>
      <c r="F203" s="17">
        <v>293000</v>
      </c>
      <c r="H203" s="17"/>
    </row>
    <row r="204" spans="1:8" ht="15.75" customHeight="1" x14ac:dyDescent="0.3">
      <c r="A204" s="17" t="s">
        <v>86</v>
      </c>
      <c r="B204" s="17" t="s">
        <v>23</v>
      </c>
      <c r="C204" s="17">
        <v>601000</v>
      </c>
      <c r="D204" s="17">
        <v>561000</v>
      </c>
      <c r="E204" s="17">
        <v>405000</v>
      </c>
      <c r="F204" s="17">
        <v>343000</v>
      </c>
      <c r="H204" s="17"/>
    </row>
    <row r="205" spans="1:8" ht="15.75" customHeight="1" x14ac:dyDescent="0.3">
      <c r="A205" s="17" t="s">
        <v>86</v>
      </c>
      <c r="B205" s="17" t="s">
        <v>24</v>
      </c>
      <c r="C205" s="17">
        <v>1319000</v>
      </c>
      <c r="D205" s="17">
        <v>1289000</v>
      </c>
      <c r="E205" s="17">
        <v>956000</v>
      </c>
      <c r="F205" s="17">
        <v>866000</v>
      </c>
      <c r="H205" s="17"/>
    </row>
    <row r="206" spans="1:8" ht="15.75" customHeight="1" x14ac:dyDescent="0.3">
      <c r="A206" s="17" t="s">
        <v>86</v>
      </c>
      <c r="B206" s="17" t="s">
        <v>25</v>
      </c>
      <c r="C206" s="17">
        <v>612000</v>
      </c>
      <c r="D206" s="17">
        <v>604000</v>
      </c>
      <c r="E206" s="17">
        <v>489000</v>
      </c>
      <c r="F206" s="17">
        <v>442000</v>
      </c>
      <c r="H206" s="17"/>
    </row>
    <row r="207" spans="1:8" ht="15.75" customHeight="1" x14ac:dyDescent="0.3">
      <c r="A207" s="17" t="s">
        <v>87</v>
      </c>
      <c r="B207" s="17" t="s">
        <v>21</v>
      </c>
      <c r="C207" s="17">
        <v>95000</v>
      </c>
      <c r="D207" s="17">
        <v>94000</v>
      </c>
      <c r="E207" s="17">
        <v>52000</v>
      </c>
      <c r="F207" s="17">
        <v>31000</v>
      </c>
      <c r="H207" s="17"/>
    </row>
    <row r="208" spans="1:8" ht="15.75" customHeight="1" x14ac:dyDescent="0.3">
      <c r="A208" s="17" t="s">
        <v>87</v>
      </c>
      <c r="B208" s="17" t="s">
        <v>22</v>
      </c>
      <c r="C208" s="17">
        <v>103000</v>
      </c>
      <c r="D208" s="17">
        <v>101000</v>
      </c>
      <c r="E208" s="17">
        <v>65000</v>
      </c>
      <c r="F208" s="17">
        <v>46000</v>
      </c>
      <c r="H208" s="17"/>
    </row>
    <row r="209" spans="1:8" ht="15.75" customHeight="1" x14ac:dyDescent="0.3">
      <c r="A209" s="17" t="s">
        <v>87</v>
      </c>
      <c r="B209" s="17" t="s">
        <v>23</v>
      </c>
      <c r="C209" s="17">
        <v>82000</v>
      </c>
      <c r="D209" s="17">
        <v>79000</v>
      </c>
      <c r="E209" s="17">
        <v>64000</v>
      </c>
      <c r="F209" s="17">
        <v>53000</v>
      </c>
      <c r="H209" s="17"/>
    </row>
    <row r="210" spans="1:8" ht="15.75" customHeight="1" x14ac:dyDescent="0.3">
      <c r="A210" s="17" t="s">
        <v>87</v>
      </c>
      <c r="B210" s="17" t="s">
        <v>24</v>
      </c>
      <c r="C210" s="17">
        <v>204000</v>
      </c>
      <c r="D210" s="17">
        <v>202000</v>
      </c>
      <c r="E210" s="17">
        <v>167000</v>
      </c>
      <c r="F210" s="17">
        <v>145000</v>
      </c>
      <c r="H210" s="17"/>
    </row>
    <row r="211" spans="1:8" ht="15.75" customHeight="1" x14ac:dyDescent="0.3">
      <c r="A211" s="17" t="s">
        <v>87</v>
      </c>
      <c r="B211" s="17" t="s">
        <v>25</v>
      </c>
      <c r="C211" s="17">
        <v>132000</v>
      </c>
      <c r="D211" s="17">
        <v>130000</v>
      </c>
      <c r="E211" s="17">
        <v>106000</v>
      </c>
      <c r="F211" s="17">
        <v>96000</v>
      </c>
      <c r="H211" s="17"/>
    </row>
    <row r="212" spans="1:8" ht="15.75" customHeight="1" x14ac:dyDescent="0.3">
      <c r="A212" s="17" t="s">
        <v>88</v>
      </c>
      <c r="B212" s="17" t="s">
        <v>21</v>
      </c>
      <c r="C212" s="17">
        <v>610000</v>
      </c>
      <c r="D212" s="17">
        <v>590000</v>
      </c>
      <c r="E212" s="17">
        <v>306000</v>
      </c>
      <c r="F212" s="17">
        <v>207000</v>
      </c>
      <c r="H212" s="17"/>
    </row>
    <row r="213" spans="1:8" ht="15.75" customHeight="1" x14ac:dyDescent="0.3">
      <c r="A213" s="17" t="s">
        <v>88</v>
      </c>
      <c r="B213" s="17" t="s">
        <v>22</v>
      </c>
      <c r="C213" s="17">
        <v>833000</v>
      </c>
      <c r="D213" s="17">
        <v>773000</v>
      </c>
      <c r="E213" s="17">
        <v>517000</v>
      </c>
      <c r="F213" s="17">
        <v>395000</v>
      </c>
      <c r="H213" s="17"/>
    </row>
    <row r="214" spans="1:8" ht="15.75" customHeight="1" x14ac:dyDescent="0.3">
      <c r="A214" s="17" t="s">
        <v>88</v>
      </c>
      <c r="B214" s="17" t="s">
        <v>23</v>
      </c>
      <c r="C214" s="17">
        <v>783000</v>
      </c>
      <c r="D214" s="17">
        <v>739000</v>
      </c>
      <c r="E214" s="17">
        <v>514000</v>
      </c>
      <c r="F214" s="17">
        <v>402000</v>
      </c>
      <c r="H214" s="17"/>
    </row>
    <row r="215" spans="1:8" ht="15.75" customHeight="1" x14ac:dyDescent="0.3">
      <c r="A215" s="17" t="s">
        <v>88</v>
      </c>
      <c r="B215" s="17" t="s">
        <v>24</v>
      </c>
      <c r="C215" s="17">
        <v>1607000</v>
      </c>
      <c r="D215" s="17">
        <v>1563000</v>
      </c>
      <c r="E215" s="17">
        <v>1081000</v>
      </c>
      <c r="F215" s="17">
        <v>904000</v>
      </c>
      <c r="H215" s="17"/>
    </row>
    <row r="216" spans="1:8" ht="15.75" customHeight="1" x14ac:dyDescent="0.3">
      <c r="A216" s="17" t="s">
        <v>88</v>
      </c>
      <c r="B216" s="17" t="s">
        <v>25</v>
      </c>
      <c r="C216" s="17">
        <v>1016000</v>
      </c>
      <c r="D216" s="17">
        <v>1013000</v>
      </c>
      <c r="E216" s="17">
        <v>793000</v>
      </c>
      <c r="F216" s="17">
        <v>698000</v>
      </c>
      <c r="H216" s="17"/>
    </row>
    <row r="217" spans="1:8" ht="15.75" customHeight="1" x14ac:dyDescent="0.3">
      <c r="A217" s="17" t="s">
        <v>89</v>
      </c>
      <c r="B217" s="17" t="s">
        <v>21</v>
      </c>
      <c r="C217" s="17">
        <v>2538000</v>
      </c>
      <c r="D217" s="17">
        <v>2249000</v>
      </c>
      <c r="E217" s="17">
        <v>971000</v>
      </c>
      <c r="F217" s="17">
        <v>572000</v>
      </c>
      <c r="H217" s="17"/>
    </row>
    <row r="218" spans="1:8" ht="15.75" customHeight="1" x14ac:dyDescent="0.3">
      <c r="A218" s="17" t="s">
        <v>89</v>
      </c>
      <c r="B218" s="17" t="s">
        <v>22</v>
      </c>
      <c r="C218" s="17">
        <v>3695000</v>
      </c>
      <c r="D218" s="17">
        <v>2965000</v>
      </c>
      <c r="E218" s="17">
        <v>1734000</v>
      </c>
      <c r="F218" s="17">
        <v>1228000</v>
      </c>
      <c r="H218" s="17"/>
    </row>
    <row r="219" spans="1:8" ht="15.75" customHeight="1" x14ac:dyDescent="0.3">
      <c r="A219" s="17" t="s">
        <v>89</v>
      </c>
      <c r="B219" s="17" t="s">
        <v>23</v>
      </c>
      <c r="C219" s="17">
        <v>3445000</v>
      </c>
      <c r="D219" s="17">
        <v>2748000</v>
      </c>
      <c r="E219" s="17">
        <v>1839000</v>
      </c>
      <c r="F219" s="17">
        <v>1473000</v>
      </c>
      <c r="H219" s="17"/>
    </row>
    <row r="220" spans="1:8" ht="15.75" customHeight="1" x14ac:dyDescent="0.3">
      <c r="A220" s="17" t="s">
        <v>89</v>
      </c>
      <c r="B220" s="17" t="s">
        <v>24</v>
      </c>
      <c r="C220" s="17">
        <v>6115000</v>
      </c>
      <c r="D220" s="17">
        <v>5429000</v>
      </c>
      <c r="E220" s="17">
        <v>3981000</v>
      </c>
      <c r="F220" s="17">
        <v>3399000</v>
      </c>
      <c r="H220" s="17"/>
    </row>
    <row r="221" spans="1:8" ht="15.75" customHeight="1" x14ac:dyDescent="0.3">
      <c r="A221" s="17" t="s">
        <v>89</v>
      </c>
      <c r="B221" s="17" t="s">
        <v>25</v>
      </c>
      <c r="C221" s="17">
        <v>2849000</v>
      </c>
      <c r="D221" s="17">
        <v>2671000</v>
      </c>
      <c r="E221" s="17">
        <v>2225000</v>
      </c>
      <c r="F221" s="17">
        <v>1971000</v>
      </c>
      <c r="H221" s="17"/>
    </row>
    <row r="222" spans="1:8" ht="15.75" customHeight="1" x14ac:dyDescent="0.3">
      <c r="A222" s="17" t="s">
        <v>90</v>
      </c>
      <c r="B222" s="17" t="s">
        <v>21</v>
      </c>
      <c r="C222" s="17">
        <v>279000</v>
      </c>
      <c r="D222" s="17">
        <v>263000</v>
      </c>
      <c r="E222" s="17">
        <v>115000</v>
      </c>
      <c r="F222" s="17">
        <v>97000</v>
      </c>
      <c r="H222" s="17"/>
    </row>
    <row r="223" spans="1:8" ht="15.75" customHeight="1" x14ac:dyDescent="0.3">
      <c r="A223" s="17" t="s">
        <v>90</v>
      </c>
      <c r="B223" s="17" t="s">
        <v>22</v>
      </c>
      <c r="C223" s="17">
        <v>446000</v>
      </c>
      <c r="D223" s="17">
        <v>407000</v>
      </c>
      <c r="E223" s="17">
        <v>236000</v>
      </c>
      <c r="F223" s="17">
        <v>194000</v>
      </c>
      <c r="H223" s="17"/>
    </row>
    <row r="224" spans="1:8" ht="15.75" customHeight="1" x14ac:dyDescent="0.3">
      <c r="A224" s="17" t="s">
        <v>90</v>
      </c>
      <c r="B224" s="17" t="s">
        <v>23</v>
      </c>
      <c r="C224" s="17">
        <v>357000</v>
      </c>
      <c r="D224" s="17">
        <v>307000</v>
      </c>
      <c r="E224" s="17">
        <v>182000</v>
      </c>
      <c r="F224" s="17">
        <v>161000</v>
      </c>
      <c r="H224" s="17"/>
    </row>
    <row r="225" spans="1:8" ht="15.75" customHeight="1" x14ac:dyDescent="0.3">
      <c r="A225" s="17" t="s">
        <v>90</v>
      </c>
      <c r="B225" s="17" t="s">
        <v>24</v>
      </c>
      <c r="C225" s="17">
        <v>592000</v>
      </c>
      <c r="D225" s="17">
        <v>576000</v>
      </c>
      <c r="E225" s="17">
        <v>396000</v>
      </c>
      <c r="F225" s="17">
        <v>375000</v>
      </c>
      <c r="H225" s="17"/>
    </row>
    <row r="226" spans="1:8" ht="15.75" customHeight="1" x14ac:dyDescent="0.3">
      <c r="A226" s="17" t="s">
        <v>90</v>
      </c>
      <c r="B226" s="17" t="s">
        <v>25</v>
      </c>
      <c r="C226" s="17">
        <v>242000</v>
      </c>
      <c r="D226" s="17">
        <v>240000</v>
      </c>
      <c r="E226" s="17">
        <v>208000</v>
      </c>
      <c r="F226" s="17">
        <v>195000</v>
      </c>
      <c r="H226" s="17"/>
    </row>
    <row r="227" spans="1:8" ht="15.75" customHeight="1" x14ac:dyDescent="0.3">
      <c r="A227" s="17" t="s">
        <v>91</v>
      </c>
      <c r="B227" s="17" t="s">
        <v>21</v>
      </c>
      <c r="C227" s="17">
        <v>61000</v>
      </c>
      <c r="D227" s="17">
        <v>59000</v>
      </c>
      <c r="E227" s="17">
        <v>30000</v>
      </c>
      <c r="F227" s="17">
        <v>23000</v>
      </c>
      <c r="H227" s="17"/>
    </row>
    <row r="228" spans="1:8" ht="15.75" customHeight="1" x14ac:dyDescent="0.3">
      <c r="A228" s="17" t="s">
        <v>91</v>
      </c>
      <c r="B228" s="17" t="s">
        <v>22</v>
      </c>
      <c r="C228" s="17">
        <v>69000</v>
      </c>
      <c r="D228" s="17">
        <v>68000</v>
      </c>
      <c r="E228" s="17">
        <v>41000</v>
      </c>
      <c r="F228" s="17">
        <v>30000</v>
      </c>
      <c r="H228" s="17"/>
    </row>
    <row r="229" spans="1:8" ht="15.75" customHeight="1" x14ac:dyDescent="0.3">
      <c r="A229" s="17" t="s">
        <v>91</v>
      </c>
      <c r="B229" s="17" t="s">
        <v>23</v>
      </c>
      <c r="C229" s="17">
        <v>78000</v>
      </c>
      <c r="D229" s="17">
        <v>76000</v>
      </c>
      <c r="E229" s="17">
        <v>53000</v>
      </c>
      <c r="F229" s="17">
        <v>46000</v>
      </c>
      <c r="H229" s="17"/>
    </row>
    <row r="230" spans="1:8" ht="15.75" customHeight="1" x14ac:dyDescent="0.3">
      <c r="A230" s="17" t="s">
        <v>91</v>
      </c>
      <c r="B230" s="17" t="s">
        <v>24</v>
      </c>
      <c r="C230" s="17">
        <v>195000</v>
      </c>
      <c r="D230" s="17">
        <v>193000</v>
      </c>
      <c r="E230" s="17">
        <v>153000</v>
      </c>
      <c r="F230" s="17">
        <v>133000</v>
      </c>
      <c r="H230" s="17"/>
    </row>
    <row r="231" spans="1:8" ht="15.75" customHeight="1" x14ac:dyDescent="0.3">
      <c r="A231" s="17" t="s">
        <v>91</v>
      </c>
      <c r="B231" s="17" t="s">
        <v>25</v>
      </c>
      <c r="C231" s="17">
        <v>93000</v>
      </c>
      <c r="D231" s="17">
        <v>91000</v>
      </c>
      <c r="E231" s="17">
        <v>79000</v>
      </c>
      <c r="F231" s="17">
        <v>75000</v>
      </c>
      <c r="H231" s="17"/>
    </row>
    <row r="232" spans="1:8" ht="15.75" customHeight="1" x14ac:dyDescent="0.3">
      <c r="A232" s="17" t="s">
        <v>92</v>
      </c>
      <c r="B232" s="17" t="s">
        <v>21</v>
      </c>
      <c r="C232" s="17">
        <v>695000</v>
      </c>
      <c r="D232" s="17">
        <v>612000</v>
      </c>
      <c r="E232" s="17">
        <v>351000</v>
      </c>
      <c r="F232" s="17">
        <v>292000</v>
      </c>
      <c r="H232" s="17"/>
    </row>
    <row r="233" spans="1:8" ht="15.75" customHeight="1" x14ac:dyDescent="0.3">
      <c r="A233" s="17" t="s">
        <v>92</v>
      </c>
      <c r="B233" s="17" t="s">
        <v>22</v>
      </c>
      <c r="C233" s="17">
        <v>1192000</v>
      </c>
      <c r="D233" s="17">
        <v>1026000</v>
      </c>
      <c r="E233" s="17">
        <v>698000</v>
      </c>
      <c r="F233" s="17">
        <v>605000</v>
      </c>
      <c r="H233" s="17"/>
    </row>
    <row r="234" spans="1:8" ht="15.75" customHeight="1" x14ac:dyDescent="0.3">
      <c r="A234" s="17" t="s">
        <v>92</v>
      </c>
      <c r="B234" s="17" t="s">
        <v>23</v>
      </c>
      <c r="C234" s="17">
        <v>989000</v>
      </c>
      <c r="D234" s="17">
        <v>889000</v>
      </c>
      <c r="E234" s="17">
        <v>717000</v>
      </c>
      <c r="F234" s="17">
        <v>634000</v>
      </c>
      <c r="H234" s="17"/>
    </row>
    <row r="235" spans="1:8" ht="15.75" customHeight="1" x14ac:dyDescent="0.3">
      <c r="A235" s="17" t="s">
        <v>92</v>
      </c>
      <c r="B235" s="17" t="s">
        <v>24</v>
      </c>
      <c r="C235" s="17">
        <v>2140000</v>
      </c>
      <c r="D235" s="17">
        <v>2050000</v>
      </c>
      <c r="E235" s="17">
        <v>1591000</v>
      </c>
      <c r="F235" s="17">
        <v>1473000</v>
      </c>
      <c r="H235" s="17"/>
    </row>
    <row r="236" spans="1:8" ht="15.75" customHeight="1" x14ac:dyDescent="0.3">
      <c r="A236" s="17" t="s">
        <v>92</v>
      </c>
      <c r="B236" s="17" t="s">
        <v>25</v>
      </c>
      <c r="C236" s="17">
        <v>1079000</v>
      </c>
      <c r="D236" s="17">
        <v>1069000</v>
      </c>
      <c r="E236" s="17">
        <v>853000</v>
      </c>
      <c r="F236" s="17">
        <v>774000</v>
      </c>
      <c r="H236" s="17"/>
    </row>
    <row r="237" spans="1:8" ht="15.75" customHeight="1" x14ac:dyDescent="0.3">
      <c r="A237" s="17" t="s">
        <v>93</v>
      </c>
      <c r="B237" s="17" t="s">
        <v>21</v>
      </c>
      <c r="C237" s="17">
        <v>563000</v>
      </c>
      <c r="D237" s="17">
        <v>511000</v>
      </c>
      <c r="E237" s="17">
        <v>275000</v>
      </c>
      <c r="F237" s="17">
        <v>215000</v>
      </c>
      <c r="H237" s="17"/>
    </row>
    <row r="238" spans="1:8" ht="15.75" customHeight="1" x14ac:dyDescent="0.3">
      <c r="A238" s="17" t="s">
        <v>93</v>
      </c>
      <c r="B238" s="17" t="s">
        <v>22</v>
      </c>
      <c r="C238" s="17">
        <v>1017000</v>
      </c>
      <c r="D238" s="17">
        <v>911000</v>
      </c>
      <c r="E238" s="17">
        <v>596000</v>
      </c>
      <c r="F238" s="17">
        <v>488000</v>
      </c>
      <c r="H238" s="17"/>
    </row>
    <row r="239" spans="1:8" ht="15.75" customHeight="1" x14ac:dyDescent="0.3">
      <c r="A239" s="17" t="s">
        <v>93</v>
      </c>
      <c r="B239" s="17" t="s">
        <v>23</v>
      </c>
      <c r="C239" s="17">
        <v>916000</v>
      </c>
      <c r="D239" s="17">
        <v>809000</v>
      </c>
      <c r="E239" s="17">
        <v>649000</v>
      </c>
      <c r="F239" s="17">
        <v>577000</v>
      </c>
      <c r="H239" s="17"/>
    </row>
    <row r="240" spans="1:8" ht="15.75" customHeight="1" x14ac:dyDescent="0.3">
      <c r="A240" s="17" t="s">
        <v>93</v>
      </c>
      <c r="B240" s="17" t="s">
        <v>24</v>
      </c>
      <c r="C240" s="17">
        <v>1660000</v>
      </c>
      <c r="D240" s="17">
        <v>1570000</v>
      </c>
      <c r="E240" s="17">
        <v>1183000</v>
      </c>
      <c r="F240" s="17">
        <v>1101000</v>
      </c>
      <c r="H240" s="17"/>
    </row>
    <row r="241" spans="1:8" ht="15.75" customHeight="1" x14ac:dyDescent="0.3">
      <c r="A241" s="17" t="s">
        <v>93</v>
      </c>
      <c r="B241" s="17" t="s">
        <v>25</v>
      </c>
      <c r="C241" s="17">
        <v>1074000</v>
      </c>
      <c r="D241" s="17">
        <v>1032000</v>
      </c>
      <c r="E241" s="17">
        <v>830000</v>
      </c>
      <c r="F241" s="17">
        <v>791000</v>
      </c>
      <c r="H241" s="17"/>
    </row>
    <row r="242" spans="1:8" ht="15.75" customHeight="1" x14ac:dyDescent="0.3">
      <c r="A242" s="17" t="s">
        <v>94</v>
      </c>
      <c r="B242" s="17" t="s">
        <v>21</v>
      </c>
      <c r="C242" s="17">
        <v>163000</v>
      </c>
      <c r="D242" s="17">
        <v>162000</v>
      </c>
      <c r="E242" s="17">
        <v>78000</v>
      </c>
      <c r="F242" s="17">
        <v>37000</v>
      </c>
      <c r="H242" s="17"/>
    </row>
    <row r="243" spans="1:8" ht="15.75" customHeight="1" x14ac:dyDescent="0.3">
      <c r="A243" s="17" t="s">
        <v>94</v>
      </c>
      <c r="B243" s="17" t="s">
        <v>22</v>
      </c>
      <c r="C243" s="17">
        <v>213000</v>
      </c>
      <c r="D243" s="17">
        <v>210000</v>
      </c>
      <c r="E243" s="17">
        <v>131000</v>
      </c>
      <c r="F243" s="17">
        <v>66000</v>
      </c>
      <c r="H243" s="17"/>
    </row>
    <row r="244" spans="1:8" ht="15.75" customHeight="1" x14ac:dyDescent="0.3">
      <c r="A244" s="17" t="s">
        <v>94</v>
      </c>
      <c r="B244" s="17" t="s">
        <v>23</v>
      </c>
      <c r="C244" s="17">
        <v>237000</v>
      </c>
      <c r="D244" s="17">
        <v>237000</v>
      </c>
      <c r="E244" s="17">
        <v>162000</v>
      </c>
      <c r="F244" s="17">
        <v>111000</v>
      </c>
      <c r="H244" s="17"/>
    </row>
    <row r="245" spans="1:8" ht="15.75" customHeight="1" x14ac:dyDescent="0.3">
      <c r="A245" s="17" t="s">
        <v>94</v>
      </c>
      <c r="B245" s="17" t="s">
        <v>24</v>
      </c>
      <c r="C245" s="17">
        <v>479000</v>
      </c>
      <c r="D245" s="17">
        <v>475000</v>
      </c>
      <c r="E245" s="17">
        <v>326000</v>
      </c>
      <c r="F245" s="17">
        <v>253000</v>
      </c>
      <c r="H245" s="17"/>
    </row>
    <row r="246" spans="1:8" ht="15.75" customHeight="1" x14ac:dyDescent="0.3">
      <c r="A246" s="17" t="s">
        <v>94</v>
      </c>
      <c r="B246" s="17" t="s">
        <v>25</v>
      </c>
      <c r="C246" s="17">
        <v>361000</v>
      </c>
      <c r="D246" s="17">
        <v>359000</v>
      </c>
      <c r="E246" s="17">
        <v>286000</v>
      </c>
      <c r="F246" s="17">
        <v>222000</v>
      </c>
      <c r="H246" s="17"/>
    </row>
    <row r="247" spans="1:8" ht="15.75" customHeight="1" x14ac:dyDescent="0.3">
      <c r="A247" s="17" t="s">
        <v>95</v>
      </c>
      <c r="B247" s="17" t="s">
        <v>21</v>
      </c>
      <c r="C247" s="17">
        <v>539000</v>
      </c>
      <c r="D247" s="17">
        <v>513000</v>
      </c>
      <c r="E247" s="17">
        <v>308000</v>
      </c>
      <c r="F247" s="17">
        <v>287000</v>
      </c>
      <c r="H247" s="17"/>
    </row>
    <row r="248" spans="1:8" ht="15.75" customHeight="1" x14ac:dyDescent="0.3">
      <c r="A248" s="17" t="s">
        <v>95</v>
      </c>
      <c r="B248" s="17" t="s">
        <v>22</v>
      </c>
      <c r="C248" s="17">
        <v>699000</v>
      </c>
      <c r="D248" s="17">
        <v>662000</v>
      </c>
      <c r="E248" s="17">
        <v>475000</v>
      </c>
      <c r="F248" s="17">
        <v>438000</v>
      </c>
      <c r="H248" s="17"/>
    </row>
    <row r="249" spans="1:8" ht="15.75" customHeight="1" x14ac:dyDescent="0.3">
      <c r="A249" s="17" t="s">
        <v>95</v>
      </c>
      <c r="B249" s="17" t="s">
        <v>23</v>
      </c>
      <c r="C249" s="17">
        <v>714000</v>
      </c>
      <c r="D249" s="17">
        <v>695000</v>
      </c>
      <c r="E249" s="17">
        <v>548000</v>
      </c>
      <c r="F249" s="17">
        <v>514000</v>
      </c>
      <c r="H249" s="17"/>
    </row>
    <row r="250" spans="1:8" ht="15.75" customHeight="1" x14ac:dyDescent="0.3">
      <c r="A250" s="17" t="s">
        <v>95</v>
      </c>
      <c r="B250" s="17" t="s">
        <v>24</v>
      </c>
      <c r="C250" s="17">
        <v>1552000</v>
      </c>
      <c r="D250" s="17">
        <v>1532000</v>
      </c>
      <c r="E250" s="17">
        <v>1224000</v>
      </c>
      <c r="F250" s="17">
        <v>1192000</v>
      </c>
      <c r="H250" s="17"/>
    </row>
    <row r="251" spans="1:8" ht="15.75" customHeight="1" x14ac:dyDescent="0.3">
      <c r="A251" s="17" t="s">
        <v>95</v>
      </c>
      <c r="B251" s="17" t="s">
        <v>25</v>
      </c>
      <c r="C251" s="17">
        <v>847000</v>
      </c>
      <c r="D251" s="17">
        <v>845000</v>
      </c>
      <c r="E251" s="17">
        <v>763000</v>
      </c>
      <c r="F251" s="17">
        <v>697000</v>
      </c>
      <c r="H251" s="17"/>
    </row>
    <row r="252" spans="1:8" ht="15.75" customHeight="1" x14ac:dyDescent="0.3">
      <c r="A252" s="17" t="s">
        <v>96</v>
      </c>
      <c r="B252" s="17" t="s">
        <v>21</v>
      </c>
      <c r="C252" s="17">
        <v>56000</v>
      </c>
      <c r="D252" s="17">
        <v>55000</v>
      </c>
      <c r="E252" s="17">
        <v>21000</v>
      </c>
      <c r="F252" s="17">
        <v>18000</v>
      </c>
      <c r="H252" s="17"/>
    </row>
    <row r="253" spans="1:8" ht="15.75" customHeight="1" x14ac:dyDescent="0.3">
      <c r="A253" s="17" t="s">
        <v>96</v>
      </c>
      <c r="B253" s="17" t="s">
        <v>22</v>
      </c>
      <c r="C253" s="17">
        <v>73000</v>
      </c>
      <c r="D253" s="17">
        <v>71000</v>
      </c>
      <c r="E253" s="17">
        <v>44000</v>
      </c>
      <c r="F253" s="17">
        <v>39000</v>
      </c>
      <c r="H253" s="17"/>
    </row>
    <row r="254" spans="1:8" ht="15.75" customHeight="1" x14ac:dyDescent="0.3">
      <c r="A254" s="17" t="s">
        <v>96</v>
      </c>
      <c r="B254" s="17" t="s">
        <v>23</v>
      </c>
      <c r="C254" s="17">
        <v>68000</v>
      </c>
      <c r="D254" s="17">
        <v>66000</v>
      </c>
      <c r="E254" s="17">
        <v>41000</v>
      </c>
      <c r="F254" s="17">
        <v>36000</v>
      </c>
      <c r="H254" s="17"/>
    </row>
    <row r="255" spans="1:8" ht="15.75" customHeight="1" x14ac:dyDescent="0.3">
      <c r="A255" s="17" t="s">
        <v>96</v>
      </c>
      <c r="B255" s="17" t="s">
        <v>24</v>
      </c>
      <c r="C255" s="17">
        <v>155000</v>
      </c>
      <c r="D255" s="17">
        <v>154000</v>
      </c>
      <c r="E255" s="17">
        <v>101000</v>
      </c>
      <c r="F255" s="17">
        <v>95000</v>
      </c>
      <c r="H255" s="17"/>
    </row>
    <row r="256" spans="1:8" ht="15.75" customHeight="1" x14ac:dyDescent="0.3">
      <c r="A256" s="17" t="s">
        <v>96</v>
      </c>
      <c r="B256" s="17" t="s">
        <v>25</v>
      </c>
      <c r="C256" s="17">
        <v>74000</v>
      </c>
      <c r="D256" s="17">
        <v>73000</v>
      </c>
      <c r="E256" s="17">
        <v>61000</v>
      </c>
      <c r="F256" s="17">
        <v>59000</v>
      </c>
      <c r="H256" s="17"/>
    </row>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2"/>
  <sheetViews>
    <sheetView showGridLines="0" zoomScaleNormal="100" workbookViewId="0">
      <pane ySplit="3" topLeftCell="A4" activePane="bottomLeft" state="frozen"/>
      <selection pane="bottomLeft" sqref="A1:C1"/>
    </sheetView>
  </sheetViews>
  <sheetFormatPr defaultColWidth="8.6640625" defaultRowHeight="14.4" x14ac:dyDescent="0.3"/>
  <cols>
    <col min="1" max="1" width="7" customWidth="1"/>
    <col min="2" max="2" width="100" customWidth="1"/>
    <col min="3" max="3" width="60" customWidth="1"/>
  </cols>
  <sheetData>
    <row r="1" spans="1:3" ht="30" customHeight="1" x14ac:dyDescent="0.5">
      <c r="A1" s="25" t="s">
        <v>102</v>
      </c>
      <c r="B1" s="25"/>
      <c r="C1" s="25"/>
    </row>
    <row r="2" spans="1:3" ht="14.25" customHeight="1" x14ac:dyDescent="0.3">
      <c r="A2" s="26" t="s">
        <v>103</v>
      </c>
      <c r="B2" s="26"/>
      <c r="C2" s="26"/>
    </row>
    <row r="4" spans="1:3" x14ac:dyDescent="0.3">
      <c r="A4" s="18" t="s">
        <v>104</v>
      </c>
      <c r="B4" s="18" t="s">
        <v>105</v>
      </c>
      <c r="C4" s="18" t="s">
        <v>106</v>
      </c>
    </row>
    <row r="5" spans="1:3" x14ac:dyDescent="0.3">
      <c r="A5">
        <v>1</v>
      </c>
      <c r="B5" t="s">
        <v>107</v>
      </c>
      <c r="C5" t="s">
        <v>108</v>
      </c>
    </row>
    <row r="6" spans="1:3" x14ac:dyDescent="0.3">
      <c r="A6">
        <v>2</v>
      </c>
      <c r="B6" t="s">
        <v>109</v>
      </c>
      <c r="C6" t="s">
        <v>108</v>
      </c>
    </row>
    <row r="7" spans="1:3" x14ac:dyDescent="0.3">
      <c r="A7">
        <v>3</v>
      </c>
      <c r="B7" t="s">
        <v>110</v>
      </c>
      <c r="C7" t="s">
        <v>108</v>
      </c>
    </row>
    <row r="8" spans="1:3" x14ac:dyDescent="0.3">
      <c r="A8">
        <v>4</v>
      </c>
      <c r="B8" t="s">
        <v>111</v>
      </c>
      <c r="C8" t="s">
        <v>108</v>
      </c>
    </row>
    <row r="9" spans="1:3" x14ac:dyDescent="0.3">
      <c r="A9">
        <v>5</v>
      </c>
      <c r="B9" t="s">
        <v>112</v>
      </c>
      <c r="C9" t="s">
        <v>108</v>
      </c>
    </row>
    <row r="10" spans="1:3" x14ac:dyDescent="0.3">
      <c r="A10">
        <v>6</v>
      </c>
      <c r="B10" t="s">
        <v>113</v>
      </c>
      <c r="C10" t="s">
        <v>108</v>
      </c>
    </row>
    <row r="11" spans="1:3" x14ac:dyDescent="0.3">
      <c r="A11">
        <v>7</v>
      </c>
      <c r="B11" t="s">
        <v>114</v>
      </c>
      <c r="C11" t="s">
        <v>108</v>
      </c>
    </row>
    <row r="12" spans="1:3" x14ac:dyDescent="0.3">
      <c r="A12">
        <v>8</v>
      </c>
      <c r="B12" t="s">
        <v>115</v>
      </c>
      <c r="C12" t="s">
        <v>108</v>
      </c>
    </row>
  </sheetData>
  <mergeCells count="2">
    <mergeCell ref="A1:C1"/>
    <mergeCell ref="A2:C2"/>
  </mergeCells>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Analysis</vt:lpstr>
      <vt:lpstr>U.S. Voters (2012)</vt:lpstr>
      <vt:lpstr>Q - Voters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PIYUSH OJHA</cp:lastModifiedBy>
  <cp:revision>1</cp:revision>
  <dcterms:created xsi:type="dcterms:W3CDTF">2026-09-28T08:03:38Z</dcterms:created>
  <dcterms:modified xsi:type="dcterms:W3CDTF">2026-10-13T08:41:32Z</dcterms:modified>
  <dc:language>en-US</dc:language>
</cp:coreProperties>
</file>